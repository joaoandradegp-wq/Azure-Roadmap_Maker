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updateLinks="always"/>
  <mc:AlternateContent xmlns:mc="http://schemas.openxmlformats.org/markup-compatibility/2006">
    <mc:Choice Requires="x15">
      <x15ac:absPath xmlns:x15ac="http://schemas.microsoft.com/office/spreadsheetml/2010/11/ac" url="https://unidasti.sharepoint.com/sites/ITTransformaoDigital/Documentos Compartilhados/24. Tribo Vendas/1. Funil de Vendas/Funil de Vendas Fleet + Livre - 2026/Livre/Backlog Funil de Vendas - BO + PO/"/>
    </mc:Choice>
  </mc:AlternateContent>
  <xr:revisionPtr revIDLastSave="4523" documentId="8_{2BEC1E53-5CC3-404F-B2FF-8583D1ECD690}" xr6:coauthVersionLast="47" xr6:coauthVersionMax="47" xr10:uidLastSave="{B05F6B07-023B-4DC0-9F4A-FF15B4296196}"/>
  <bookViews>
    <workbookView xWindow="-110" yWindow="-110" windowWidth="19420" windowHeight="10300" firstSheet="3" activeTab="4" xr2:uid="{02A07DEC-CD37-47D4-8376-DA0119754CF8}"/>
  </bookViews>
  <sheets>
    <sheet name="Painel" sheetId="3" r:id="rId1"/>
    <sheet name="Melhorias Funil (Capa)" sheetId="1" r:id="rId2"/>
    <sheet name="Planilha2" sheetId="6" state="hidden" r:id="rId3"/>
    <sheet name="LIVRE Oficial" sheetId="7" r:id="rId4"/>
    <sheet name="Pró ativos" sheetId="4" r:id="rId5"/>
    <sheet name="Debito Tecnico" sheetId="5" r:id="rId6"/>
    <sheet name="Status" sheetId="2" r:id="rId7"/>
  </sheets>
  <definedNames>
    <definedName name="_xlnm._FilterDatabase" localSheetId="2" hidden="1">Planilha2!$A$1:$D$33</definedName>
    <definedName name="_xlnm._FilterDatabase" localSheetId="6" hidden="1">Status!$A$1:$A$21</definedName>
    <definedName name="_xlnm._FilterDatabase" localSheetId="3" hidden="1">'LIVRE Oficial'!$A$1:$V$173</definedName>
  </definedNames>
  <calcPr calcId="191028"/>
  <pivotCaches>
    <pivotCache cacheId="22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7" l="1"/>
  <c r="B130" i="1"/>
  <c r="C130" i="1"/>
  <c r="D130" i="1"/>
  <c r="E130" i="1"/>
  <c r="G130" i="1"/>
  <c r="H130" i="1"/>
  <c r="I130" i="1"/>
  <c r="J130" i="1"/>
  <c r="K130" i="1"/>
  <c r="L130" i="1"/>
  <c r="M130" i="1"/>
  <c r="N130" i="1"/>
  <c r="Q130" i="1"/>
  <c r="R130" i="1"/>
  <c r="S130" i="1"/>
  <c r="T130" i="1"/>
  <c r="V130" i="1"/>
  <c r="B129" i="1"/>
  <c r="C129" i="1"/>
  <c r="D129" i="1"/>
  <c r="E129" i="1"/>
  <c r="G129" i="1"/>
  <c r="H129" i="1"/>
  <c r="I129" i="1"/>
  <c r="J129" i="1"/>
  <c r="K129" i="1"/>
  <c r="L129" i="1"/>
  <c r="M129" i="1"/>
  <c r="N129" i="1"/>
  <c r="Q129" i="1"/>
  <c r="R129" i="1"/>
  <c r="S129" i="1"/>
  <c r="T129" i="1"/>
  <c r="V129" i="1"/>
  <c r="B127" i="1"/>
  <c r="B128" i="1"/>
  <c r="C127" i="1"/>
  <c r="C128" i="1"/>
  <c r="D127" i="1"/>
  <c r="D128" i="1"/>
  <c r="E127" i="1"/>
  <c r="E128" i="1"/>
  <c r="G127" i="1"/>
  <c r="G128" i="1"/>
  <c r="H127" i="1"/>
  <c r="H128" i="1"/>
  <c r="I127" i="1"/>
  <c r="I128" i="1"/>
  <c r="J127" i="1"/>
  <c r="J128" i="1"/>
  <c r="K127" i="1"/>
  <c r="K128" i="1"/>
  <c r="L127" i="1"/>
  <c r="L128" i="1"/>
  <c r="M127" i="1"/>
  <c r="M128" i="1"/>
  <c r="N127" i="1"/>
  <c r="N128" i="1"/>
  <c r="Q127" i="1"/>
  <c r="Q128" i="1"/>
  <c r="R127" i="1"/>
  <c r="R128" i="1"/>
  <c r="S127" i="1"/>
  <c r="S128" i="1"/>
  <c r="T127" i="1"/>
  <c r="T128" i="1"/>
  <c r="U128" i="1"/>
  <c r="V127" i="1"/>
  <c r="V128" i="1"/>
  <c r="B125" i="1"/>
  <c r="B126" i="1"/>
  <c r="C125" i="1"/>
  <c r="C126" i="1"/>
  <c r="D125" i="1"/>
  <c r="D126" i="1"/>
  <c r="E125" i="1"/>
  <c r="E126" i="1"/>
  <c r="G125" i="1"/>
  <c r="G126" i="1"/>
  <c r="H125" i="1"/>
  <c r="H126" i="1"/>
  <c r="I125" i="1"/>
  <c r="I126" i="1"/>
  <c r="J125" i="1"/>
  <c r="J126" i="1"/>
  <c r="K125" i="1"/>
  <c r="K126" i="1"/>
  <c r="L125" i="1"/>
  <c r="L126" i="1"/>
  <c r="M125" i="1"/>
  <c r="M126" i="1"/>
  <c r="N125" i="1"/>
  <c r="N126" i="1"/>
  <c r="Q125" i="1"/>
  <c r="Q126" i="1"/>
  <c r="R125" i="1"/>
  <c r="R126" i="1"/>
  <c r="S125" i="1"/>
  <c r="S126" i="1"/>
  <c r="T125" i="1"/>
  <c r="T126" i="1"/>
  <c r="V125" i="1"/>
  <c r="V126" i="1"/>
  <c r="B122" i="1"/>
  <c r="B123" i="1"/>
  <c r="B124" i="1"/>
  <c r="C122" i="1"/>
  <c r="C123" i="1"/>
  <c r="C124" i="1"/>
  <c r="D122" i="1"/>
  <c r="D123" i="1"/>
  <c r="D124" i="1"/>
  <c r="E122" i="1"/>
  <c r="E123" i="1"/>
  <c r="E124" i="1"/>
  <c r="G122" i="1"/>
  <c r="G123" i="1"/>
  <c r="G124" i="1"/>
  <c r="H122" i="1"/>
  <c r="H123" i="1"/>
  <c r="H124" i="1"/>
  <c r="I122" i="1"/>
  <c r="I123" i="1"/>
  <c r="I124" i="1"/>
  <c r="J122" i="1"/>
  <c r="J123" i="1"/>
  <c r="J124" i="1"/>
  <c r="K122" i="1"/>
  <c r="K123" i="1"/>
  <c r="K124" i="1"/>
  <c r="L122" i="1"/>
  <c r="L123" i="1"/>
  <c r="L124" i="1"/>
  <c r="M122" i="1"/>
  <c r="M123" i="1"/>
  <c r="M124" i="1"/>
  <c r="N122" i="1"/>
  <c r="N123" i="1"/>
  <c r="N124" i="1"/>
  <c r="Q122" i="1"/>
  <c r="Q123" i="1"/>
  <c r="Q124" i="1"/>
  <c r="R122" i="1"/>
  <c r="R123" i="1"/>
  <c r="R124" i="1"/>
  <c r="S122" i="1"/>
  <c r="S123" i="1"/>
  <c r="S124" i="1"/>
  <c r="T122" i="1"/>
  <c r="T123" i="1"/>
  <c r="T124" i="1"/>
  <c r="V122" i="1"/>
  <c r="V123" i="1"/>
  <c r="V124" i="1"/>
  <c r="S28" i="7"/>
  <c r="S121" i="7"/>
  <c r="S24" i="7"/>
  <c r="S32" i="7"/>
  <c r="S117" i="7"/>
  <c r="S118" i="7"/>
  <c r="S13" i="7"/>
  <c r="U120" i="1" s="1"/>
  <c r="S120" i="7"/>
  <c r="S18" i="7"/>
  <c r="S19" i="7"/>
  <c r="S123" i="7"/>
  <c r="U124" i="1" s="1"/>
  <c r="S124" i="7"/>
  <c r="U125" i="1" s="1"/>
  <c r="S125" i="7"/>
  <c r="U126" i="1" s="1"/>
  <c r="B120" i="1"/>
  <c r="B121" i="1"/>
  <c r="C120" i="1"/>
  <c r="C121" i="1"/>
  <c r="D120" i="1"/>
  <c r="D121" i="1"/>
  <c r="E120" i="1"/>
  <c r="E121" i="1"/>
  <c r="G120" i="1"/>
  <c r="G121" i="1"/>
  <c r="H120" i="1"/>
  <c r="H121" i="1"/>
  <c r="I120" i="1"/>
  <c r="I121" i="1"/>
  <c r="J120" i="1"/>
  <c r="J121" i="1"/>
  <c r="K120" i="1"/>
  <c r="K121" i="1"/>
  <c r="L120" i="1"/>
  <c r="L121" i="1"/>
  <c r="M120" i="1"/>
  <c r="M121" i="1"/>
  <c r="N120" i="1"/>
  <c r="N121" i="1"/>
  <c r="Q120" i="1"/>
  <c r="Q121" i="1"/>
  <c r="R120" i="1"/>
  <c r="R121" i="1"/>
  <c r="S120" i="1"/>
  <c r="S121" i="1"/>
  <c r="T120" i="1"/>
  <c r="T121" i="1"/>
  <c r="V120" i="1"/>
  <c r="V121" i="1"/>
  <c r="B119" i="1"/>
  <c r="C119" i="1"/>
  <c r="D119" i="1"/>
  <c r="E119" i="1"/>
  <c r="G119" i="1"/>
  <c r="H119" i="1"/>
  <c r="I119" i="1"/>
  <c r="J119" i="1"/>
  <c r="K119" i="1"/>
  <c r="L119" i="1"/>
  <c r="M119" i="1"/>
  <c r="N119" i="1"/>
  <c r="Q119" i="1"/>
  <c r="R119" i="1"/>
  <c r="S119" i="1"/>
  <c r="T119" i="1"/>
  <c r="V119" i="1"/>
  <c r="S116" i="7"/>
  <c r="B118" i="1"/>
  <c r="C118" i="1"/>
  <c r="D118" i="1"/>
  <c r="E118" i="1"/>
  <c r="G118" i="1"/>
  <c r="H118" i="1"/>
  <c r="I118" i="1"/>
  <c r="J118" i="1"/>
  <c r="K118" i="1"/>
  <c r="L118" i="1"/>
  <c r="M118" i="1"/>
  <c r="N118" i="1"/>
  <c r="Q118" i="1"/>
  <c r="R118" i="1"/>
  <c r="S118" i="1"/>
  <c r="T118" i="1"/>
  <c r="V118" i="1"/>
  <c r="S115" i="7"/>
  <c r="U116" i="1" s="1"/>
  <c r="B117" i="1"/>
  <c r="C117" i="1"/>
  <c r="D117" i="1"/>
  <c r="E117" i="1"/>
  <c r="G117" i="1"/>
  <c r="H117" i="1"/>
  <c r="I117" i="1"/>
  <c r="J117" i="1"/>
  <c r="K117" i="1"/>
  <c r="L117" i="1"/>
  <c r="M117" i="1"/>
  <c r="N117" i="1"/>
  <c r="Q117" i="1"/>
  <c r="R117" i="1"/>
  <c r="S117" i="1"/>
  <c r="T117" i="1"/>
  <c r="V117" i="1"/>
  <c r="S114" i="7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S113" i="7"/>
  <c r="C115" i="1"/>
  <c r="D115" i="1"/>
  <c r="E115" i="1"/>
  <c r="G115" i="1"/>
  <c r="H115" i="1"/>
  <c r="I115" i="1"/>
  <c r="J115" i="1"/>
  <c r="K115" i="1"/>
  <c r="L115" i="1"/>
  <c r="M115" i="1"/>
  <c r="N115" i="1"/>
  <c r="Q115" i="1"/>
  <c r="R115" i="1"/>
  <c r="S115" i="1"/>
  <c r="T115" i="1"/>
  <c r="V115" i="1"/>
  <c r="C116" i="1"/>
  <c r="D116" i="1"/>
  <c r="E116" i="1"/>
  <c r="G116" i="1"/>
  <c r="H116" i="1"/>
  <c r="I116" i="1"/>
  <c r="J116" i="1"/>
  <c r="K116" i="1"/>
  <c r="L116" i="1"/>
  <c r="M116" i="1"/>
  <c r="N116" i="1"/>
  <c r="Q116" i="1"/>
  <c r="R116" i="1"/>
  <c r="S116" i="1"/>
  <c r="T116" i="1"/>
  <c r="V116" i="1"/>
  <c r="E114" i="1"/>
  <c r="G114" i="1"/>
  <c r="H114" i="1"/>
  <c r="I114" i="1"/>
  <c r="J114" i="1"/>
  <c r="K114" i="1"/>
  <c r="L114" i="1"/>
  <c r="M114" i="1"/>
  <c r="N114" i="1"/>
  <c r="Q114" i="1"/>
  <c r="R114" i="1"/>
  <c r="S114" i="1"/>
  <c r="T114" i="1"/>
  <c r="V114" i="1"/>
  <c r="D114" i="1"/>
  <c r="C114" i="1"/>
  <c r="C113" i="1"/>
  <c r="D113" i="1"/>
  <c r="E113" i="1"/>
  <c r="G113" i="1"/>
  <c r="H113" i="1"/>
  <c r="I113" i="1"/>
  <c r="J113" i="1"/>
  <c r="K113" i="1"/>
  <c r="L113" i="1"/>
  <c r="M113" i="1"/>
  <c r="N113" i="1"/>
  <c r="Q113" i="1"/>
  <c r="R113" i="1"/>
  <c r="S113" i="1"/>
  <c r="T113" i="1"/>
  <c r="V11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V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V5" i="1"/>
  <c r="S111" i="7"/>
  <c r="S133" i="7"/>
  <c r="U130" i="1" s="1"/>
  <c r="S141" i="7"/>
  <c r="S14" i="7"/>
  <c r="S142" i="7"/>
  <c r="S112" i="7"/>
  <c r="S110" i="7"/>
  <c r="C112" i="1"/>
  <c r="D112" i="1"/>
  <c r="E112" i="1"/>
  <c r="G112" i="1"/>
  <c r="H112" i="1"/>
  <c r="I112" i="1"/>
  <c r="J112" i="1"/>
  <c r="K112" i="1"/>
  <c r="L112" i="1"/>
  <c r="M112" i="1"/>
  <c r="N112" i="1"/>
  <c r="Q112" i="1"/>
  <c r="R112" i="1"/>
  <c r="S112" i="1"/>
  <c r="T112" i="1"/>
  <c r="V112" i="1"/>
  <c r="S109" i="7"/>
  <c r="C111" i="1"/>
  <c r="D111" i="1"/>
  <c r="E111" i="1"/>
  <c r="G111" i="1"/>
  <c r="H111" i="1"/>
  <c r="I111" i="1"/>
  <c r="J111" i="1"/>
  <c r="K111" i="1"/>
  <c r="L111" i="1"/>
  <c r="M111" i="1"/>
  <c r="N111" i="1"/>
  <c r="Q111" i="1"/>
  <c r="R111" i="1"/>
  <c r="S111" i="1"/>
  <c r="T111" i="1"/>
  <c r="S108" i="7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8" i="1"/>
  <c r="G7" i="1"/>
  <c r="F7" i="1"/>
  <c r="F6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O3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D3" i="1"/>
  <c r="E3" i="1"/>
  <c r="F3" i="1"/>
  <c r="G3" i="1"/>
  <c r="H3" i="1"/>
  <c r="I3" i="1"/>
  <c r="J3" i="1"/>
  <c r="K3" i="1"/>
  <c r="L3" i="1"/>
  <c r="M3" i="1"/>
  <c r="N3" i="1"/>
  <c r="P3" i="1"/>
  <c r="Q3" i="1"/>
  <c r="R3" i="1"/>
  <c r="S3" i="1"/>
  <c r="T3" i="1"/>
  <c r="V3" i="1"/>
  <c r="C3" i="1"/>
  <c r="S137" i="7"/>
  <c r="U4" i="1" s="1"/>
  <c r="S134" i="7"/>
  <c r="S5" i="7"/>
  <c r="S6" i="7"/>
  <c r="S7" i="7"/>
  <c r="S8" i="7"/>
  <c r="S9" i="7"/>
  <c r="S10" i="7"/>
  <c r="S11" i="7"/>
  <c r="S12" i="7"/>
  <c r="S25" i="7"/>
  <c r="S130" i="7"/>
  <c r="S128" i="7"/>
  <c r="S135" i="7"/>
  <c r="S138" i="7"/>
  <c r="S122" i="7"/>
  <c r="S131" i="7"/>
  <c r="U127" i="1" s="1"/>
  <c r="S132" i="7"/>
  <c r="S30" i="7"/>
  <c r="S31" i="7"/>
  <c r="S21" i="7"/>
  <c r="S29" i="7"/>
  <c r="S4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2" i="7"/>
  <c r="U3" i="1" s="1"/>
  <c r="U5" i="1" l="1"/>
  <c r="U121" i="1"/>
  <c r="U117" i="1"/>
  <c r="U129" i="1"/>
  <c r="U123" i="1"/>
  <c r="U119" i="1"/>
  <c r="U115" i="1"/>
  <c r="U122" i="1"/>
  <c r="U108" i="1"/>
  <c r="U113" i="1"/>
  <c r="U118" i="1"/>
  <c r="U107" i="1"/>
  <c r="U106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1" i="1"/>
  <c r="U80" i="1"/>
  <c r="U79" i="1"/>
  <c r="U77" i="1"/>
  <c r="U76" i="1"/>
  <c r="U75" i="1"/>
  <c r="U74" i="1"/>
  <c r="U69" i="1"/>
  <c r="U68" i="1"/>
  <c r="U66" i="1"/>
  <c r="U65" i="1"/>
  <c r="U63" i="1"/>
  <c r="U62" i="1"/>
  <c r="U59" i="1"/>
  <c r="U58" i="1"/>
  <c r="U57" i="1"/>
  <c r="U56" i="1"/>
  <c r="U55" i="1"/>
  <c r="U50" i="1"/>
  <c r="U49" i="1"/>
  <c r="U44" i="1"/>
  <c r="U43" i="1"/>
  <c r="U36" i="1"/>
  <c r="U35" i="1"/>
  <c r="U34" i="1"/>
  <c r="U114" i="1"/>
  <c r="U22" i="1"/>
  <c r="U33" i="1"/>
  <c r="U112" i="1"/>
  <c r="U110" i="1"/>
  <c r="U84" i="1"/>
  <c r="U109" i="1"/>
  <c r="U111" i="1"/>
  <c r="U105" i="1"/>
  <c r="U46" i="1"/>
  <c r="U78" i="1"/>
  <c r="U73" i="1"/>
  <c r="U72" i="1"/>
  <c r="U83" i="1"/>
  <c r="U71" i="1"/>
  <c r="U70" i="1"/>
  <c r="U67" i="1"/>
  <c r="U82" i="1"/>
  <c r="U64" i="1"/>
  <c r="U61" i="1"/>
  <c r="U60" i="1"/>
  <c r="U54" i="1"/>
  <c r="U53" i="1"/>
  <c r="U52" i="1"/>
  <c r="U51" i="1"/>
  <c r="U45" i="1"/>
  <c r="U42" i="1"/>
  <c r="U41" i="1"/>
  <c r="U40" i="1"/>
  <c r="U39" i="1"/>
  <c r="U38" i="1"/>
  <c r="U37" i="1"/>
  <c r="U32" i="1"/>
  <c r="U31" i="1"/>
  <c r="U30" i="1"/>
  <c r="U29" i="1"/>
  <c r="U28" i="1"/>
  <c r="U27" i="1"/>
  <c r="U26" i="1"/>
  <c r="U25" i="1"/>
  <c r="U24" i="1"/>
  <c r="U23" i="1"/>
  <c r="U21" i="1"/>
  <c r="U20" i="1"/>
  <c r="U19" i="1"/>
  <c r="U18" i="1"/>
  <c r="U17" i="1"/>
  <c r="U16" i="1"/>
  <c r="U15" i="1"/>
  <c r="U14" i="1"/>
  <c r="U48" i="1"/>
  <c r="U13" i="1"/>
  <c r="U12" i="1"/>
  <c r="U11" i="1"/>
  <c r="U10" i="1"/>
  <c r="U9" i="1"/>
  <c r="U47" i="1"/>
  <c r="U8" i="1"/>
  <c r="U7" i="1"/>
  <c r="U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tc={678A0F52-3C20-44A1-B687-8156F09C853B}</author>
    <author>tc={7385AE18-F259-4947-89CD-3E75875C6643}</author>
    <author>tc={764AD645-2D32-4F4E-BB37-C8DE0E80BEC0}</author>
  </authors>
  <commentList>
    <comment ref="R2" authorId="0" shapeId="0" xr:uid="{678A0F52-3C20-44A1-B687-8156F09C85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Gravidade
1 - Sem gravidade
2 - Pouco grave
3 - Grave
4 - Muito grave
5 - Extremamente grave
</t>
      </text>
    </comment>
    <comment ref="S2" authorId="1" shapeId="0" xr:uid="{7385AE18-F259-4947-89CD-3E75875C66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1-Pode esperar
2-Pouco urgente
3-Urgente
4-Muito urgente
5-Ação imediata
</t>
      </text>
    </comment>
    <comment ref="T2" authorId="2" shapeId="0" xr:uid="{764AD645-2D32-4F4E-BB37-C8DE0E80BE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1-Não irá mudar
2-Irá piorar a longo prazo
3-Irá piorar a médio prazo
4-Irá piorar a curto prazo
5-Irá piorar rapidamente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tc={67D59D6A-D36C-41C4-AFB4-8DFF6AE566AB}</author>
    <author>tc={89270D30-9ECD-4E45-B82A-92FF91DFEE0A}</author>
    <author>tc={6203B1DD-D246-4358-8408-3D112F5BD735}</author>
  </authors>
  <commentList>
    <comment ref="P1" authorId="0" shapeId="0" xr:uid="{67D59D6A-D36C-41C4-AFB4-8DFF6AE566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Gravidade
1 - Sem gravidade
2 - Pouco grave
3 - Grave
4 - Muito grave
5 - Extremamente grave
</t>
      </text>
    </comment>
    <comment ref="Q1" authorId="1" shapeId="0" xr:uid="{89270D30-9ECD-4E45-B82A-92FF91DFEE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1-Pode esperar
2-Pouco urgente
3-Urgente
4-Muito urgente
5-Ação imediata
</t>
      </text>
    </comment>
    <comment ref="R1" authorId="2" shapeId="0" xr:uid="{6203B1DD-D246-4358-8408-3D112F5BD7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1-Não irá mudar
2-Irá piorar a longo prazo
3-Irá piorar a médio prazo
4-Irá piorar a curto prazo
5-Irá piorar rapidamente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tc={EEEC67D2-60E6-4577-A2BC-DAA99CCE184A}</author>
    <author>tc={3E0922B2-0F89-42F5-AD8C-EA94EC2EB827}</author>
    <author>tc={FE7DEB1C-3821-4B37-8065-9C6A759345AC}</author>
  </authors>
  <commentList>
    <comment ref="P1" authorId="0" shapeId="0" xr:uid="{EEEC67D2-60E6-4577-A2BC-DAA99CCE18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Gravidade
1 - Sem gravidade
2 - Pouco grave
3 - Grave
4 - Muito grave
5 - Extremamente grave
</t>
      </text>
    </comment>
    <comment ref="Q1" authorId="1" shapeId="0" xr:uid="{3E0922B2-0F89-42F5-AD8C-EA94EC2EB8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1-Pode esperar
2-Pouco urgente
3-Urgente
4-Muito urgente
5-Ação imediata
</t>
      </text>
    </comment>
    <comment ref="R1" authorId="2" shapeId="0" xr:uid="{FE7DEB1C-3821-4B37-8065-9C6A759345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1-Não irá mudar
2-Irá piorar a longo prazo
3-Irá piorar a médio prazo
4-Irá piorar a curto prazo
5-Irá piorar rapidamente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tc={A90953B8-8062-4B40-A3BB-28FB50B4E443}</author>
    <author>tc={724C9AB9-902E-4244-AD5E-19E93EB79457}</author>
    <author>tc={C1A006AD-74BF-40F1-96B7-CA907486E509}</author>
  </authors>
  <commentList>
    <comment ref="Q1" authorId="0" shapeId="0" xr:uid="{A90953B8-8062-4B40-A3BB-28FB50B4E4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Gravidade
1 - Sem gravidade
2 - Pouco grave
3 - Grave
4 - Muito grave
5 - Extremamente grave
</t>
      </text>
    </comment>
    <comment ref="R1" authorId="1" shapeId="0" xr:uid="{724C9AB9-902E-4244-AD5E-19E93EB794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1-Pode esperar
2-Pouco urgente
3-Urgente
4-Muito urgente
5-Ação imediata
</t>
      </text>
    </comment>
    <comment ref="S1" authorId="2" shapeId="0" xr:uid="{C1A006AD-74BF-40F1-96B7-CA907486E5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1-Não irá mudar
2-Irá piorar a longo prazo
3-Irá piorar a médio prazo
4-Irá piorar a curto prazo
5-Irá piorar rapidamente
</t>
      </text>
    </comment>
  </commentList>
</comments>
</file>

<file path=xl/sharedStrings.xml><?xml version="1.0" encoding="utf-8"?>
<sst xmlns="http://schemas.openxmlformats.org/spreadsheetml/2006/main" count="1522" uniqueCount="315">
  <si>
    <t>Quant.</t>
  </si>
  <si>
    <t>Status</t>
  </si>
  <si>
    <t>Total</t>
  </si>
  <si>
    <t>Em Desenvolvimento</t>
  </si>
  <si>
    <t>Entregue</t>
  </si>
  <si>
    <t>Backlog</t>
  </si>
  <si>
    <t>Paralisado</t>
  </si>
  <si>
    <t>QA</t>
  </si>
  <si>
    <t>Removido</t>
  </si>
  <si>
    <t>Total Geral</t>
  </si>
  <si>
    <t>TI</t>
  </si>
  <si>
    <t>GUT</t>
  </si>
  <si>
    <t>ID</t>
  </si>
  <si>
    <t>Data da Inserção</t>
  </si>
  <si>
    <t>Solicitante</t>
  </si>
  <si>
    <t>Área</t>
  </si>
  <si>
    <t>Chamado</t>
  </si>
  <si>
    <t>Squad</t>
  </si>
  <si>
    <t>Avaliação área de Negocio</t>
  </si>
  <si>
    <t>Classificação área</t>
  </si>
  <si>
    <t>Resumo Melhoria</t>
  </si>
  <si>
    <t>Descrição</t>
  </si>
  <si>
    <t>OBS</t>
  </si>
  <si>
    <t>Tamanho</t>
  </si>
  <si>
    <t>Comitê de TI</t>
  </si>
  <si>
    <t>Squad On Going</t>
  </si>
  <si>
    <t>Nº Azure</t>
  </si>
  <si>
    <t>Gravidade</t>
  </si>
  <si>
    <t>Urgência</t>
  </si>
  <si>
    <t>Tendência</t>
  </si>
  <si>
    <t>Resultado GUT</t>
  </si>
  <si>
    <t>Prioridade</t>
  </si>
  <si>
    <t>Valoração</t>
  </si>
  <si>
    <t>Produto</t>
  </si>
  <si>
    <t>Ajuste plano de manutenção TA, Data emissão de TA</t>
  </si>
  <si>
    <t>Verificar Ene sobre plano de manutenção e se mantemos esses dois ponto na mesma melhoria</t>
  </si>
  <si>
    <t>G</t>
  </si>
  <si>
    <t>Fleet</t>
  </si>
  <si>
    <t>PROJETO  Crédito - Integração Documentação</t>
  </si>
  <si>
    <t>Interação efetiva do cliente no envio de documentos| cliente enviar a documentação quando entrasse no crédito</t>
  </si>
  <si>
    <t>?</t>
  </si>
  <si>
    <t>PROJETO Crédito - OCR &amp; IA para balanços e demais doc do cliente | fornecedor que todas vez que o cliente mandar a documentação da empresa a IA ler e ver se esta correto</t>
  </si>
  <si>
    <t>Acelerar o time-to-yes focando em dados e não preenchimentos operacionais|</t>
  </si>
  <si>
    <t>Alterar vinculo do contrato no meio da oportunidade e não apenas no inicio</t>
  </si>
  <si>
    <t xml:space="preserve">criar oportunidade só consigo vincular quando crio a op, e não deixa alterar, com isso precisa fazer do começo novamente a oportunidade | opção de vinular ou criar um novo, precisamos conseguir retirar o vinculo ou criar o vinculo no meio do fluxo </t>
  </si>
  <si>
    <t xml:space="preserve">ajuste CNPJ Alfanumerico, </t>
  </si>
  <si>
    <t>envolve reforma tributaria</t>
  </si>
  <si>
    <t>Anexar a Documentação todas as vezes - não replica para todas as oportunidades do mesmo cliente, ver a possibilidade de os documentos ficarem vinculados a conta e o sistema ter a opção de pegar da conta sem a necessidade de incluir um a um a cada proposta fechada</t>
  </si>
  <si>
    <t>aprodundas com crédito e adm</t>
  </si>
  <si>
    <t>Identificação de novos campos para integração ao contrato do locavia Exemplo:tipo de rodagem, tipo de indice de reajuste se for media e menor</t>
  </si>
  <si>
    <t>Necessário adicionar o campo Tipo de rodagem (IRIS_Tipo_de_rodagem__c) que está dentro do objeto linhas da cotação para a integração junto ao Locavia | esse é um dos campos mas precisamos ver com a Mary não tem outros campos na mesma situação</t>
  </si>
  <si>
    <t>Integração Whatsapp - Sales Force</t>
  </si>
  <si>
    <t>Integrar whatsapp ao Sales Force com leitura de informações passadas pelo cliente como Nome, CNPJ e numero de celular para que o lead seja criado de maneira automatizado e de forma que o CNPJ seja validado nas integrações externas de classificação de cliente e de dados da receita federal.| pessoal do seminovos ja faz dessa forma | precisamos refinar pra enteder com time de negocio</t>
  </si>
  <si>
    <t>Identificação dos aprovadores de cotação relatorio e tela</t>
  </si>
  <si>
    <t>|18/02/2026 09:35 Pedro Henrique Franco: 
Descrição
- Conforme falado em chatter, estamos com itens impactando diretamente a diretoria e performance do time, portanto solicito melhoria do tema.
Resumo: Identificação de aprovadores da oportunidade/cotação, bem como adição de novas informações nas aprovações da op.
Os detalhes estão no Word anexado no chamado.
Obrigado</t>
  </si>
  <si>
    <t>M</t>
  </si>
  <si>
    <t>Identificação dos aprovadores de oportunidade e matriz juridica, relatorio e tela</t>
  </si>
  <si>
    <t>PROJETO Harmonização CRM (Fleet &amp; Livre)</t>
  </si>
  <si>
    <t xml:space="preserve">Evitar desenvolvimentos duplicados face itens ocorridos no Fleet durante o IRIS|COMPLEXO, esteiras de fleet e livre deixar mais proximo possivel </t>
  </si>
  <si>
    <t>PROJETO Score do Cliente - Novo Cliente</t>
  </si>
  <si>
    <t>Evitar tempo do Comercial em clientes fora de perfil levando em consideração itens adicionais ao pré-rating| ter um Score interno de cliente, a gente ter uma avaliação e algo da unidas (clientes novos)</t>
  </si>
  <si>
    <t>GAP KILLING - Envio Antecipado de Contrato para o cliente e Análise Jurídica</t>
  </si>
  <si>
    <t>botão de analise antecipada dentro do SF, elaw esta preparada para isso apenas o contrato , não envia TA- PODE CRIAR EM QUALQUER momento até a elaboração da minuta</t>
  </si>
  <si>
    <t>GAP KILLING - Cotação de leaseback</t>
  </si>
  <si>
    <t>Complexo, produto que não temos hoje, deve ser trata no futuro vendo grande impacto</t>
  </si>
  <si>
    <t>Oportunidade Futura Pós Lost</t>
  </si>
  <si>
    <t>quando da perda manual, ter a opção de criar uma oportunidade futura.</t>
  </si>
  <si>
    <t>GG</t>
  </si>
  <si>
    <t>PROJETO SLA (Fases/Subfases da Oportunidade)</t>
  </si>
  <si>
    <t>|18/02/2026 09:35 Pedro Henrique Franco: 
Descrição
- Conforme falado em chatter, estamos com itens impactando diretamente a diretoria e performance do time, portanto solicito melhoria do tema.
Resumo: Identificação de SLA das fases/subfases
Os detalhes estão no Word anexado no chamado.
Obrigado</t>
  </si>
  <si>
    <t>Leads Duplicados *Prioritario*</t>
  </si>
  <si>
    <t>Leads que chegam repetidos, devem ser agregados ao lead original se estiver em aberto, permitindo que o atendente que esta trabalhando no lead original, tenha acesso aos dados do lead novo, ao mesmo tempo que o lead novo não seja trabalhado por outro atendente ou em momento separado (Verificar se melhoria esta sendo trabalhada na Squad do Rac Corporativo)|07/02/2026 19:03 Abgail Gomes da Silva Tantsch: 
Descrição
- Tratamento de Leads Duplicados no status NOVO
Pessoal, tudo bem?
Temos enfrentado um problema recorrente com entrada de Leads duplicados, principalmente quando:
já existe um Lead em ATENDIMENTO
e novos Leads entram com as mesmas informações (telefone, e‑mail ou empresa)
ficando todos no status NOVO, espalhados entre diferentes donos
Isso gera:
retrabalho
risco de contato duplicado com o cliente
dificuldade de identificar qual Lead está sendo efetivamente atendido
Solicitação:
Gostaríamos de avaliar uma configuração onde:
Todo Lead novo, ao entrar no Salesforce, verifique se já existe um Lead com as mesmas informações em status ATENDIMENTO
Caso exista, o novo Lead:
não fique solto como “NOVO”
seja agrupado / relacionado ao Lead já existente
ou tenha seu status ajustado automaticamente
O objetivo é manter todos os registros do mesmo contato concentrados, facilitando o acompanhamento e evitando retrabalho no time.
Essa melhoria ajudaria muito a produtividade e a qualidade do atendimento.
Obrigada!</t>
  </si>
  <si>
    <t>Formato +55</t>
  </si>
  <si>
    <t>Incluir o formato +55 automaticamente para os telefones que não possuem essa dado ao integrar o lead no sales force (verificar possibilidade de usar essa melhoria tb para os leads Livre PF)|10/03/2026 16:35 Alexandre Alberto Dea dos Santos: 
Descrição
- Formato +55 - Incluir o formato +55 automaticamente para os telefones que não possuem essa dado ao integrar o lead no sales force (verificar possibilidade de usar essa melhoria tb para os leads Livre PF) | Aline 14.04 : é apenas o formato da ingração quando o lead entrar no sistema independente da origem, verificar sobre o ajuste na Api que vem do autocerto ja com o ajuste, desenvolvimento pelo Heitor</t>
  </si>
  <si>
    <t>Oportunidades não geradas</t>
  </si>
  <si>
    <t>Atualmente quando existe uma conversão de lead com duas áreas de interesse diferentes, porém em uma dela por algum motivo a conversão da erro, o sistema gera a oportunidade pra uma das diretorias e não gera para a que deu erro. O problema é que não existe mensagem informando do erro ou da falta de informação para gerar a outra oportunidade. Caso aconteceu 2 vezes em que o DDD do cliente com interesse em pesados e PME era divergente do endereço da empresa. Ao converter esse lead gerou apenas oportunidade de PME e não gerou nem avisou que não gerou a oportunidade de Pesados. Avaliar possibilidade de lista de distribuição ser por cidade e não DDD, evitando o erro de UF diferente de DDD (Planejamento Comercial)|11/03/2026 17:15 Alexandre Alberto Dea dos Santos: 
Descrição
- Oportunidades não geradas - Atualmente quando existe uma conversão de lead com duas áreas de interesse diferentes, porém em uma dela por algum motivo a conversão da erro, o sistema gera a oportunidade pra uma das diretorias e não gera para a que deu erro. O problema é que não existe mensagem informando do erro ou da falta de informação para gerar a outra oportunidade. Caso aconteceu 2 vezes em que o DDD do cliente com interesse em pesados e PME era divergente do endereço da empresa. Ao converter esse lead gerou apenas oportunidade de PME e não gerou nem avisou que não gerou a oportunidade de Pesados. 
Para que o problema não volte a ocorrer, além de msg de alerta de erro, avaliar possibilidade de lista de distribuição ser por cidade e não DDD, evitando o erro de UF diferente de DDD informado pela integração da receita federal (Envolver Planejamento Comercial na resolução dessa melhoria)</t>
  </si>
  <si>
    <t>Redistribuição de Leads</t>
  </si>
  <si>
    <t>Atualmente é possível enviar um lead ou vários leads para uma pessoa por vez. Precisamos que seja possível enviar vários leads para mais de uma pessoa por vez e que se houver mais de uma pessoa para recebe-lo que seja dividido igualmente o volume de leads encaminhados entre as pessoas que vão recebe-los|11/03/2026 17:21 Alexandre Alberto Dea dos Santos: 
Descrição
- Redistribuição de Leads - Atualmente é possível enviar um lead ou vários leads para uma pessoa por vez. Precisamos que seja possível enviar vários leads para mais de uma pessoa por vez e que se houver mais de uma pessoa para recebe-lo que seja dividido igualmente o volume de leads encaminhados entre as pessoas que vão recebe-los</t>
  </si>
  <si>
    <t>GAP KILLING - Cotação de serviços para terceiros</t>
  </si>
  <si>
    <t>Criação de proposta e cotação para serviço terceiro|</t>
  </si>
  <si>
    <t xml:space="preserve"> Transferência Automática Hunter para Farmer</t>
  </si>
  <si>
    <t>precisamos desenhar todo os fluxo e entendimento</t>
  </si>
  <si>
    <t>Transferência Automática de Farmer para Hunter (ex clientes)</t>
  </si>
  <si>
    <t>trazer quantidade de pneu automaticamente do locavia</t>
  </si>
  <si>
    <t>Complexo- precisava trazer do cadastro do produto, exemplo gol 4 pensar algo mais automatico, com prazo e km, e entender com pricing se é possivel</t>
  </si>
  <si>
    <t>PROJETO Score do Cliente - Renovação &amp; Manutenção de Carteira</t>
  </si>
  <si>
    <t xml:space="preserve">Pontuação do cliente considerando todas as áreas da Cia| cliente de carteira </t>
  </si>
  <si>
    <t>PROJETO Motor de Cálculo 2.0 CPQ</t>
  </si>
  <si>
    <t>Evolução do motor, buscando melhor automação e autonomia do time de Pricing|</t>
  </si>
  <si>
    <t>PROJETO Projeto Fases Cotação (Unificação CPQ &amp; Funil)</t>
  </si>
  <si>
    <t>Unificação Fases de Cotação CPQ (Leves e Pesados)|</t>
  </si>
  <si>
    <t>PROJETO  Projeto "Pipefy" (Manutenção, Atendimento, Lead, Onboarding...)</t>
  </si>
  <si>
    <t>Autonomia dos times para gerar fluxos de trabalho, melhorando a UX e liberando TI para temas mais complexos| colocar dentro do SF em varios fluxos, robo</t>
  </si>
  <si>
    <t>PROJETO Ajustes Processo Contrato Sales Force </t>
  </si>
  <si>
    <t>Ajustes decorrentes de provável migração de fornecedor (E-law vs NetLex)|</t>
  </si>
  <si>
    <t>PROJETO Reformulação Site Livre Empresas &amp; Harmonização Livre</t>
  </si>
  <si>
    <t xml:space="preserve">alterar site, e ajustes </t>
  </si>
  <si>
    <t>PROJETO  Projeto Einstein CRM (Fleet e Livre)</t>
  </si>
  <si>
    <t xml:space="preserve">Evolução do Sales Force com a utilização da IA para os times de Negócios em CRM| IA dentro do SF, </t>
  </si>
  <si>
    <t>PROJETO Simplificação &amp; Reavaliação (SAP Comissions)</t>
  </si>
  <si>
    <t>Redesenho para simplificar a dependência do SAP devido altos custos em simples alterações|</t>
  </si>
  <si>
    <t>Classificação</t>
  </si>
  <si>
    <t>Historia</t>
  </si>
  <si>
    <t>Daniela Mochon</t>
  </si>
  <si>
    <t>Comercial</t>
  </si>
  <si>
    <t>Melhoria</t>
  </si>
  <si>
    <t>Funil</t>
  </si>
  <si>
    <t>LEAD | Distribuição Automática e Inteligente de Leads no Salesforce (Vendedores Internos)</t>
  </si>
  <si>
    <t>Aguardando Refinamento de Negócio</t>
  </si>
  <si>
    <t>LEAD | Criação do campo “LeadPrincipalCPF”</t>
  </si>
  <si>
    <t>P</t>
  </si>
  <si>
    <t>CONTRATO | Atualizar automaticamente status e dados de contratos e pedidos via integração entre Salesforce e Locavia</t>
  </si>
  <si>
    <t> </t>
  </si>
  <si>
    <t>ATLAS | Remover a limitação de 150 propostas na exibição com filtros de Status aplicados em "Minhas propostas"</t>
  </si>
  <si>
    <t>C2604-24461</t>
  </si>
  <si>
    <t>BUG</t>
  </si>
  <si>
    <t>CONTA | Permitir alteração manual do nome da Conta para registros criados de forma sistêmica</t>
  </si>
  <si>
    <t>OPORTUNIDADE | Criação de Nova Oportunidade a partir de Fechamento da Op de Renovação</t>
  </si>
  <si>
    <t>Pedro Henrique</t>
  </si>
  <si>
    <t>C2604-17343</t>
  </si>
  <si>
    <t>OPORTUNIDADE | Desenvolver Correção do Status da Análise de Crédito</t>
  </si>
  <si>
    <t>Monique Evelin</t>
  </si>
  <si>
    <t>Crédito</t>
  </si>
  <si>
    <t>CONTA | Botão Manual para Consulta SERASA na Conta (Pessoa Física)</t>
  </si>
  <si>
    <t>QUOTE | Desenvolver envio de Opcionais no Pedido de Compra para o Locavia</t>
  </si>
  <si>
    <t>OPORTUNIDADE | Desenvolver correção para atualização do motivo do pedido de compra em cenários de renovação</t>
  </si>
  <si>
    <t>OPORTUNIDADE | Permitir geração de pedido de compra sem delay de 8 dias para casos de retenção de clientes</t>
  </si>
  <si>
    <t>CONTRATO | Criar campos de controle para integração de retorno de assinatura contrato (Authentique)</t>
  </si>
  <si>
    <t>Fora do Escopo SPRINT 04</t>
  </si>
  <si>
    <t>Proativo</t>
  </si>
  <si>
    <t>ASSET - Stauts do Ativo Fleet aparecendo no Livre</t>
  </si>
  <si>
    <t>Jéssica Fachina</t>
  </si>
  <si>
    <t>Funil Crédito</t>
  </si>
  <si>
    <t>OPORTUNIDADE | Enviar novas informações da proposta de Renovação para a Plataforma de Crédito</t>
  </si>
  <si>
    <t>Funil + Atlas</t>
  </si>
  <si>
    <t>OPORTUNIDADE | Desenvolver novas regras de Desatrelamento V2</t>
  </si>
  <si>
    <t>Cancelado</t>
  </si>
  <si>
    <t>Site</t>
  </si>
  <si>
    <t>Alterar a ordem do fluxo para Assinatura e depois Pagamento</t>
  </si>
  <si>
    <t>OPORTUNIDADE | Desatrelamento Automático de Vendedor</t>
  </si>
  <si>
    <t>-</t>
  </si>
  <si>
    <t>BUG | Nas trocas ou alterações de vendedor, apenas o ID é atualizado e as outras informações ficam incorretas</t>
  </si>
  <si>
    <t>Sprint 8</t>
  </si>
  <si>
    <t>Funil &amp; Atlas</t>
  </si>
  <si>
    <t xml:space="preserve">OPORTUNIDADE | Adicionar campo de "Prazo de Entrega Informado ao cliente" </t>
  </si>
  <si>
    <t>OPORTUNIDADE | Garantir o envio e registro do desconto de 3% do Atlas para o Salesforce</t>
  </si>
  <si>
    <t>Entregue a parte funcional e API do lado do SF. Aguardando Atlas</t>
  </si>
  <si>
    <t>LEAD | Encaminhar automaticamente para LOST Leads com Score inferior a 300</t>
  </si>
  <si>
    <t>Enviar notificação ao vendedor quando um novo lead for distribuido a ele</t>
  </si>
  <si>
    <t>LEAD | Serviço de Consulta de CEP do Funil de Vendas</t>
  </si>
  <si>
    <t>LEAD | Fechar automaticamente como "lost" leads com score de 1 a 300 com motivo fechado perdido de "Score abaixo de 300" (Atlas deve apresentar a mesma mensagem no site e altas do motivo "short recusado")</t>
  </si>
  <si>
    <t>OPORTUNIDADE | Criar campo "Parceiro" (Atlas deve enviar a qual parceiro esse cliente esta vinculado)</t>
  </si>
  <si>
    <t>Sugestão: Agrupar com a US 329942</t>
  </si>
  <si>
    <t>OPORTUNIDADE | Substituir exibição de endereço detalhado de fornecedores por localização genérica</t>
  </si>
  <si>
    <t>OPORTUNIDADE | Preencher automaticamente a data de cobrança da primeira parcela em oportunidades de renovação</t>
  </si>
  <si>
    <t>CONTRATO | Criar categoria de contrato “Renovação – Troca de Titularidade” com regras específicas de operação e cobrança</t>
  </si>
  <si>
    <t>OPORTUNIDADE | Criar e preencher o campo “Revendedor Dono da Conta” para controle de comissionamentos</t>
  </si>
  <si>
    <t xml:space="preserve">C2601-22639 </t>
  </si>
  <si>
    <t>CONTRATO | Tornar FirstName não obrigatório na criação de Contrato</t>
  </si>
  <si>
    <t xml:space="preserve">BUG </t>
  </si>
  <si>
    <t>OPORTUNIDADE | Tratar descrição de LOG para Pedido de Compra</t>
  </si>
  <si>
    <t>C2603-13439</t>
  </si>
  <si>
    <t>CONTA | Alterar Nome do Cliente após Subida de Nova Proposta</t>
  </si>
  <si>
    <t>OPORTUNIDADE | Desenvolver Exibição do Ano/Modelo na Oportunidade</t>
  </si>
  <si>
    <t>M2604-10920</t>
  </si>
  <si>
    <t>LEAD | Melhoria no processo de Consulta SERASA + Log</t>
  </si>
  <si>
    <t>OPORTUNIDADE | Desenvolvimento de Subfases para oportunidades de Renovação</t>
  </si>
  <si>
    <t>OPORTUNIDADE | Desenvolver obrigatoriedade do Campo Subfase</t>
  </si>
  <si>
    <t>OPORTUNIDADE | Remover perfis do bloqueio de edição de campos na Oportunidade.</t>
  </si>
  <si>
    <t>OPORTUNIDADE | Liberar para edição de Oportunidades (Stage e Motivo)</t>
  </si>
  <si>
    <t>CONTRATO | Desenvolver remoção da trava de Cadastro SF x Assinatura</t>
  </si>
  <si>
    <t>CONTRATO | Integração com Plataforma de Crédito "Tipo de Contrato"</t>
  </si>
  <si>
    <t>CONTRATO | Desenvolver JOB para que apenas 5 tipos de contratos gerem a Renovação</t>
  </si>
  <si>
    <t>OPORTUNIDADE | Desenvolver correção Motivo de Perda (Fechado Perdido)</t>
  </si>
  <si>
    <t>Aline Lucia Zarnicinski</t>
  </si>
  <si>
    <t>INTEGRAÇÃO | Adequações de Informações Enviadas ao SAP Commissions (Projeto SAPCOM – Nova Política)</t>
  </si>
  <si>
    <t>LEAD | Desenvolver Reencaminhamento de Leads “Lost” para SDR com Validação por Cidade</t>
  </si>
  <si>
    <t>OPORTUNIDADE | Preenchimento de Informações do LEAD (Vendedor / Revendedor / Gestor / Venda)</t>
  </si>
  <si>
    <t>LEAD | Investigar falha na conversão automática de Lead</t>
  </si>
  <si>
    <t>Cibele Thais</t>
  </si>
  <si>
    <t>C2602-34943</t>
  </si>
  <si>
    <t>OPORTUNIDADE - Desenvolver correção de mudança indevida do status da Oportunidade</t>
  </si>
  <si>
    <t>ACCOUNT | Desenvolver bloqueio na trigger quando o tipo de registro da Conta for Empresa</t>
  </si>
  <si>
    <t>OPORTUNIDADE | Liberar a visualização do campo "Cadastro sincronizado SAP e Locavia" para o Perfil Atendimento Livre</t>
  </si>
  <si>
    <t>OPORTUNIDADE | Correção de Cancelamento de Crédito e Validação de Múltiplas Chamadas</t>
  </si>
  <si>
    <t>LEAD | Desenvolver Padronização do Cadastro de Cidades Atendidas pela UNIDAS</t>
  </si>
  <si>
    <t>OPORTUNIDADE | Atualização e inclusão de motivos no campo “Motivo Fechado Perdido”</t>
  </si>
  <si>
    <t>RENOVAÇÃO | Desenvolver Integração de Pedidos de Renovação com Locavia</t>
  </si>
  <si>
    <t>OPORTUNIDADE | Fluxo de Renovação de Contratos (Atualização do Campo Categoria Contrato)</t>
  </si>
  <si>
    <t>OPORTUNIDADE | Desenvolver correção do preenchimento do campo IRIS_ValorKmRodado__c nas Oportunidades</t>
  </si>
  <si>
    <t>C2601-8878</t>
  </si>
  <si>
    <t>OPORTUNIDADE | Liberação de edição do campo “Número do Contrato Master – Origem</t>
  </si>
  <si>
    <t>USER| Desenvolver liberação de edição de Oportunidades para IRIS_Gestor_Comercial_Livre</t>
  </si>
  <si>
    <t>C2604-33584</t>
  </si>
  <si>
    <t>OPORTUNIDADE | Desenvolver correção de atualização de SubFase em Oportunidade de Renovação</t>
  </si>
  <si>
    <t>LEAD | Desenvolvimento de Correção Nº2 de Cadastro de Cidades via Integração</t>
  </si>
  <si>
    <t>REPORT | Desenvolver Alteração no Botão de Relatório (Cotação Master) - Mário Sturlini</t>
  </si>
  <si>
    <t>OPORTUNIDADE | Correção da Data/Hora de Assinatura</t>
  </si>
  <si>
    <t>OPORTUNIDADE em QA | Correção de Dados da Oportunidade em Criação com Troca de Titularidade</t>
  </si>
  <si>
    <t>CONTRATO | Desenvolver na Integração para Ignorar Contrato Provisório no Preenchimento da Oportunidade</t>
  </si>
  <si>
    <t>QUOTE | Desenvolver Correção do Envio de Emplacamento no Pedido de Compra (GWM – SP)</t>
  </si>
  <si>
    <t>ASSET | Ano do Produto Desatualizado</t>
  </si>
  <si>
    <t>CONTRATO | Desativação da ValidationRule de Assinatura do Contrato</t>
  </si>
  <si>
    <t>LEAD | Desenvolver  Fluxo de Consulta com Pré-Score</t>
  </si>
  <si>
    <t>PRODUTO | Voltar Flow e da UF de Emplacamento</t>
  </si>
  <si>
    <t>PRODUTO | Criação do campo “Migração AX” em Product2 e Asset com visibilidade controlada</t>
  </si>
  <si>
    <t>CONTA | Desenvolver Alteração Nome do Cliente após Subida de Nova Proposta</t>
  </si>
  <si>
    <t>LEAD | Desenvolvimento de Correção de Cadastro de Cidades via Integração</t>
  </si>
  <si>
    <t>PRODUTO | Desenvolver Ajuste de Acionamento do Flow e Análise de Atualização da UF de Emplacamento</t>
  </si>
  <si>
    <t>Mário Sturlini</t>
  </si>
  <si>
    <t>REPORT | Desenvolver Alteração no Botão de Relatório - Mário Sturlini</t>
  </si>
  <si>
    <t>OPORTUNIDADE | Regressão de estágio da Oportunidade</t>
  </si>
  <si>
    <t>OPORTUNIDADE | Desenvolver atualização do campo de Desconto via Integração​</t>
  </si>
  <si>
    <t>PERFIL | Conceder acesso às informações de Fleet mantendo perfil IRIS_Gestor_Comercial_Livre</t>
  </si>
  <si>
    <t>C2605-8422</t>
  </si>
  <si>
    <t>OPORTUNIDADE | Desenvolver correção para Renovação Automática</t>
  </si>
  <si>
    <t>CASO | Desenvolver na regra de criação de CASO de  não-renovação</t>
  </si>
  <si>
    <t>C2605-13068</t>
  </si>
  <si>
    <t>OPORTUNIDADE | Desenvolver correção para BUG pós Deploy em Renovação Automática</t>
  </si>
  <si>
    <t>Cibele</t>
  </si>
  <si>
    <t>PERFIL | "Atendimento Livre" precisa enxergar "Nome_do_Vendedor__c"</t>
  </si>
  <si>
    <t xml:space="preserve"> OPORTUNIDADE | Complemento de Distribuição de Leads – Inserir ID e NOME do Gestor da Oportunidade</t>
  </si>
  <si>
    <t>C2605-22298</t>
  </si>
  <si>
    <t>OPORTUNIDADE | Desenvolver correção do disparo da Distribuição de Lead</t>
  </si>
  <si>
    <t>LEAD | Desenvolver Opção de "Renovação" na picklist do LeadSource</t>
  </si>
  <si>
    <t>OPORTUNIDADE | Desenvolver cópia do nome do Owner para o Campo "Nome do Vendedor"</t>
  </si>
  <si>
    <t>LEAD | Desenvolver correção para LeadSource Nulo</t>
  </si>
  <si>
    <t>OPORTUNIDADE | Desenvolver novo balanceamento de Distribuição de Leads</t>
  </si>
  <si>
    <t>OPORTUNIDADE | Desenvolver Status da Análise de Crédito em Branco em Cenários de Renovação</t>
  </si>
  <si>
    <t>C2607-8225</t>
  </si>
  <si>
    <t>Priorizado Proxima Sprint</t>
  </si>
  <si>
    <t>OPORTUNIDADE | Nova alteração na Regra de Distribuição de Lead - Zeus 600-1000 e Nexi 0-599</t>
  </si>
  <si>
    <t>OPORTUNIDADE | Desenvolver Batch para aumentar frequência de geração de Pedido de Compra</t>
  </si>
  <si>
    <t>CASO | Liberação de acesso ao campo CNPJ_Fornecedor_Relacionado__c para perfil Front Office Comercial Leves</t>
  </si>
  <si>
    <t>OPORTUNIDADE | Disparar e-mail ao vendedor quando o crédito reprovar uma renovação</t>
  </si>
  <si>
    <t>LEAD | Desenvolver melhoria no processamento do Job IRIS_BatchCalloutsAndUpdateOwner</t>
  </si>
  <si>
    <t>Helen Cristina</t>
  </si>
  <si>
    <t>FLEET</t>
  </si>
  <si>
    <t>ASSET | Desenvolver Tratamento de Nome de Produto para Criação de Asset</t>
  </si>
  <si>
    <t>Adicionar vendedor à fila Nexi - IG00710VDD-0 distribuição</t>
  </si>
  <si>
    <t>OPORTUNIDADE | Desenvolver importação de Campos do Lead para a Oportunidade</t>
  </si>
  <si>
    <t>OPORTUNIDADE | Atualizar motivo “Preço” para “Problemas financeiros” e incluir opção “Não informado”</t>
  </si>
  <si>
    <t>CASO | Ajuste da regra de criação de caso para desmobilização, contabilizando dias úteis e removendo a regra de fechamento automatico da oportunidade</t>
  </si>
  <si>
    <t>CONTA | Criar botão na conta para geração antecipada de oportunidade de renovação</t>
  </si>
  <si>
    <t>OPORTUNIDADE | Adicionar campo “Data término do contrato” nas oportunidades de renovação</t>
  </si>
  <si>
    <t>OPORTUNIDADE | Criar campo para rastrear a data da última alteração da subfase da oportunidade</t>
  </si>
  <si>
    <t>OPORTUNIDADE | Criação de Subfase para Fechado Ganho</t>
  </si>
  <si>
    <t>OPORTUNIDADE | Integração com QI Tech para Validação de CNH (Liveness)</t>
  </si>
  <si>
    <t>Funil/Atlas</t>
  </si>
  <si>
    <t>OPORTUNIDADE | Permitir o envio de propostas de renovação de colaboradores e parceiros via Atlas</t>
  </si>
  <si>
    <t>DISTRIBUIÇÃO | Regra de distribuição considerando Score</t>
  </si>
  <si>
    <t>Pronto GMUD</t>
  </si>
  <si>
    <t>CONTRATO | Viabilizar a subida de documentos complementares de crédito.</t>
  </si>
  <si>
    <t>OPORTUNIDADE | Preenchimento automático da Data de Retorno da Análise de Dados em Oportunidades de Renovação</t>
  </si>
  <si>
    <t>Na sprint Atual</t>
  </si>
  <si>
    <t>REFORMA - OPORTUNIDADE - Exposição de Campos Financeiros na Oportunidade Livre e Integração com Site, BRIM e LocaviaWeb</t>
  </si>
  <si>
    <t>BARRAMENTO | Inclusão na API de criação e atualização da oportunidade dos novos campos relacionado a reforma tributária e API de pedido de compra Livre</t>
  </si>
  <si>
    <t>C2604-23424</t>
  </si>
  <si>
    <t>OPORTUNIDADE | Falha pontual no preenchimento automático do campo Valor Total com Desconto</t>
  </si>
  <si>
    <t>Ajustar o job de renovação para 90 ao invés de 120 dias</t>
  </si>
  <si>
    <t>OPORTUNIDADE | Desenvolver correção de envio para Análise de Crédito</t>
  </si>
  <si>
    <t>OPORTUNIDADE | Correção do preenchimento do Valor do KM na criação de Oportunidades</t>
  </si>
  <si>
    <t>Quem está tratando é a Equipe do Atlas</t>
  </si>
  <si>
    <t>Erro ocorre por Automação de Terceiros</t>
  </si>
  <si>
    <t>OPORTUNIDADE | Criar forma de parametrizar a regra de score para podermos alterar sem necessidade de GMUD</t>
  </si>
  <si>
    <t>Bloqueado</t>
  </si>
  <si>
    <t>Funil + Atlas + Locavia + BRIM</t>
  </si>
  <si>
    <t>OPORTUNIDADE | Desenvolver campo para inclusão da Data de Faturamento escolhida pelo Cliente</t>
  </si>
  <si>
    <t>[OPORTUNIDADE] Criar forma de parametrizar o prazo de criação de oportunidade sem necessidade de GMUD</t>
  </si>
  <si>
    <t>Aguardando Desenvolvimento da História</t>
  </si>
  <si>
    <t>Apresentar o Lead/Oportunidade de Parceiro de forma prioritária das demais oportunidades</t>
  </si>
  <si>
    <t xml:space="preserve">Funil </t>
  </si>
  <si>
    <t>Criação da subfase Contrato Ativo para Fechado ganho</t>
  </si>
  <si>
    <t>OPORTUNIDADE | Permitir reversão automática do status “Fechado Ganho” para “Fechado Perdido” em caso de cancelamento antes da entrega</t>
  </si>
  <si>
    <t>Já estava sendo entregue. Paralizou e irá retornar novamente.</t>
  </si>
  <si>
    <t>OPORTUNIDADE | Criar Tela Parametrizável para Cadastro de Loja de Retirada</t>
  </si>
  <si>
    <t>OPORTUNIDADE / LEAD | Adicionar valor ao campo "Loja de Retirada"</t>
  </si>
  <si>
    <t>CONTRATO / OPORTUNIDADE | Desenvolver alteração no método de Data e Hora da Assinatura de Contrato</t>
  </si>
  <si>
    <t>Inviabilidade técnica</t>
  </si>
  <si>
    <t>OPORTUNIDADE | Atualização de Cadastro Existente no Locavia Antes da Geração do Contrato</t>
  </si>
  <si>
    <t xml:space="preserve">Desenvolver nova timeline da oportunidade </t>
  </si>
  <si>
    <t>Retirar a regra de CDC para oportunidades de Renovação</t>
  </si>
  <si>
    <t>Melhoria na list view (chamado histórico C2607-35522)</t>
  </si>
  <si>
    <t>Funil / LOCAVIA</t>
  </si>
  <si>
    <t>Melhor detalhemento dos erros apresentados no retorno da Flag Cadastro sincronizado SAP e Locavia</t>
  </si>
  <si>
    <t>Funil / lOCAVIA</t>
  </si>
  <si>
    <t>Implementação de logs no Salesforce para análise detalhada do retorno das falhas no cadastro do cartão de crédito</t>
  </si>
  <si>
    <t>Quando o lead for Reprovado por score apresentar o valor do score</t>
  </si>
  <si>
    <t>Deve apresentar o campo de Short no Lead, hoje só aparece na conta</t>
  </si>
  <si>
    <t xml:space="preserve">Criação de De/Para dos retornos do Short para auxiliar na análise do vendedor </t>
  </si>
  <si>
    <t>Ajustar acesso para todos conseguirem ver o funcionalidade de LEAD</t>
  </si>
  <si>
    <t xml:space="preserve"> LEAD | Desenvolver nova regra de desqualificação automática por Score 1-300</t>
  </si>
  <si>
    <t>LEAD | Desenvolver permissão de perfil acessar/visualizar objeto LEAD + Campos</t>
  </si>
  <si>
    <t>Solicitação de documentação para clientes autonomos antes da solicitação da análise de crédito</t>
  </si>
  <si>
    <t xml:space="preserve">LEAD | Reutilização de Score dentro de 30 dias </t>
  </si>
  <si>
    <t>Colocar na oportunidade uma sessão só de contrato: data de início, data fim, data de cancelamento, status do contrato, data da entrega, placa.</t>
  </si>
  <si>
    <t>Atualização diária do status do contrato e data de cancelamento</t>
  </si>
  <si>
    <t>Colocar no relatório de contrato o vínculo com a oportunidade (ID e Status) https://unidas.lightning.force.com/lightning/r/Report/00ONp00000qVF9iMAG/view</t>
  </si>
  <si>
    <t>Colocar um novo campo na hora de fechar a oportunidade de para data do cancelamento real.</t>
  </si>
  <si>
    <t>C2608-20064</t>
  </si>
  <si>
    <t>LEAD | Desenvolver nova regra de desqualificação automática por Score 2-300</t>
  </si>
  <si>
    <t>CONTRATO | Atualizar contrato no SF automaticamente</t>
  </si>
  <si>
    <t xml:space="preserve">OPORTUNIDADE | Ajuste no layout da oportunidade </t>
  </si>
  <si>
    <t xml:space="preserve">Criar permissionamento que possa Visualizar/Criar Loja/cidade Livre </t>
  </si>
  <si>
    <t>OPORTUNIDADE | Desenvolver captura do campo "Data Captura Reserva Primeira Parcela"</t>
  </si>
  <si>
    <t>OPORUNIDADE | Criar forma de parametrizar Score em relação ao lost automático do Lead</t>
  </si>
  <si>
    <t>Domeciana</t>
  </si>
  <si>
    <t>Em Análise Técnica TI</t>
  </si>
  <si>
    <t>OPORTUNIDADE | Desenvolver Data de Fechamento no Histórico da Fase da Oportunidade</t>
  </si>
  <si>
    <t>Aguardando Capacity</t>
  </si>
  <si>
    <t>Aguardando Refinamento TI</t>
  </si>
  <si>
    <t>Pronto para Desenvolvimento</t>
  </si>
  <si>
    <t>Priorizado</t>
  </si>
  <si>
    <t>Priorizado Comitê</t>
  </si>
  <si>
    <t>Priorizado Squad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</si>
</sst>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0000"/>
      <name val="Aptos Narrow"/>
      <family val="2"/>
    </font>
    <font>
      <sz val="10"/>
      <color theme="1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</font>
    <font>
      <sz val="12"/>
      <color rgb="FF0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rgb="FF156082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hair">
        <color indexed="64"/>
      </left>
      <right style="hair">
        <color indexed="6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rgb="FF156082"/>
      </top>
      <bottom style="thin">
        <color theme="4"/>
      </bottom>
      <diagonal/>
    </border>
    <border>
      <left/>
      <right/>
      <top style="thin">
        <color rgb="FF156082"/>
      </top>
      <bottom style="thin">
        <color rgb="FF156082"/>
      </bottom>
      <diagonal/>
    </border>
    <border>
      <left/>
      <right/>
      <top/>
      <bottom style="thin">
        <color rgb="FF156082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0" borderId="0" xfId="2" applyAlignment="1">
      <alignment horizontal="center"/>
    </xf>
    <xf numFmtId="0" fontId="3" fillId="2" borderId="0" xfId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0" borderId="3" xfId="0" applyBorder="1"/>
    <xf numFmtId="14" fontId="0" fillId="0" borderId="0" xfId="0" applyNumberFormat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0" fillId="0" borderId="0" xfId="0" pivotButton="1"/>
    <xf numFmtId="0" fontId="7" fillId="2" borderId="4" xfId="0" applyFont="1" applyFill="1" applyBorder="1" applyAlignment="1">
      <alignment horizontal="center"/>
    </xf>
    <xf numFmtId="14" fontId="7" fillId="2" borderId="3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2" fillId="0" borderId="8" xfId="1" applyNumberFormat="1" applyBorder="1" applyAlignment="1">
      <alignment horizontal="center"/>
    </xf>
    <xf numFmtId="0" fontId="2" fillId="0" borderId="8" xfId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8" xfId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8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2" fillId="0" borderId="9" xfId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/>
    <xf numFmtId="0" fontId="2" fillId="0" borderId="3" xfId="1" applyBorder="1" applyAlignment="1">
      <alignment horizontal="left"/>
    </xf>
    <xf numFmtId="0" fontId="2" fillId="0" borderId="3" xfId="1" applyBorder="1" applyAlignment="1">
      <alignment horizontal="center"/>
    </xf>
    <xf numFmtId="0" fontId="2" fillId="0" borderId="8" xfId="1" applyBorder="1" applyAlignment="1">
      <alignment horizontal="left"/>
    </xf>
    <xf numFmtId="0" fontId="2" fillId="0" borderId="3" xfId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2" fillId="0" borderId="3" xfId="1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2" fillId="0" borderId="3" xfId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6" xfId="1" applyBorder="1" applyAlignment="1">
      <alignment horizontal="center" vertical="center"/>
    </xf>
    <xf numFmtId="0" fontId="5" fillId="0" borderId="8" xfId="2" applyBorder="1"/>
    <xf numFmtId="0" fontId="4" fillId="0" borderId="8" xfId="0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8" fillId="2" borderId="0" xfId="1" applyFont="1" applyFill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0" fillId="0" borderId="3" xfId="1" applyFont="1" applyBorder="1" applyAlignment="1">
      <alignment horizontal="left"/>
    </xf>
    <xf numFmtId="0" fontId="10" fillId="0" borderId="3" xfId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1" applyFont="1" applyBorder="1" applyAlignment="1">
      <alignment horizontal="center"/>
    </xf>
    <xf numFmtId="0" fontId="10" fillId="0" borderId="8" xfId="1" applyFont="1" applyBorder="1" applyAlignment="1">
      <alignment horizontal="left"/>
    </xf>
    <xf numFmtId="0" fontId="10" fillId="0" borderId="0" xfId="1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0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left"/>
    </xf>
    <xf numFmtId="0" fontId="10" fillId="0" borderId="10" xfId="1" applyFont="1" applyBorder="1" applyAlignment="1">
      <alignment horizontal="center"/>
    </xf>
    <xf numFmtId="0" fontId="10" fillId="0" borderId="10" xfId="1" applyFont="1" applyBorder="1" applyAlignment="1">
      <alignment horizontal="left"/>
    </xf>
    <xf numFmtId="0" fontId="10" fillId="0" borderId="0" xfId="0" applyFont="1"/>
    <xf numFmtId="0" fontId="10" fillId="0" borderId="3" xfId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1" applyFont="1" applyFill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8" xfId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0" fillId="6" borderId="0" xfId="0" applyFill="1"/>
    <xf numFmtId="0" fontId="4" fillId="0" borderId="0" xfId="0" applyFont="1" applyAlignment="1">
      <alignment horizontal="center"/>
    </xf>
    <xf numFmtId="14" fontId="2" fillId="0" borderId="0" xfId="1" applyNumberFormat="1" applyAlignment="1">
      <alignment horizontal="center"/>
    </xf>
    <xf numFmtId="0" fontId="2" fillId="0" borderId="0" xfId="1" applyAlignment="1">
      <alignment horizontal="center"/>
    </xf>
    <xf numFmtId="0" fontId="4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0" xfId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 applyAlignment="1">
      <alignment horizontal="center" vertical="center"/>
    </xf>
    <xf numFmtId="0" fontId="4" fillId="0" borderId="0" xfId="0" applyFont="1"/>
    <xf numFmtId="0" fontId="0" fillId="0" borderId="9" xfId="0" applyBorder="1"/>
    <xf numFmtId="0" fontId="0" fillId="7" borderId="8" xfId="0" applyFill="1" applyBorder="1" applyAlignment="1">
      <alignment horizontal="center"/>
    </xf>
    <xf numFmtId="0" fontId="2" fillId="8" borderId="8" xfId="1" applyFill="1" applyBorder="1" applyAlignment="1">
      <alignment horizontal="center"/>
    </xf>
    <xf numFmtId="0" fontId="0" fillId="8" borderId="0" xfId="0" applyFill="1"/>
    <xf numFmtId="0" fontId="0" fillId="9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8" borderId="7" xfId="0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2" fillId="0" borderId="9" xfId="1" applyBorder="1" applyAlignment="1">
      <alignment horizontal="left"/>
    </xf>
    <xf numFmtId="164" fontId="0" fillId="0" borderId="9" xfId="1" applyNumberFormat="1" applyFont="1" applyBorder="1" applyAlignment="1">
      <alignment horizontal="center"/>
    </xf>
    <xf numFmtId="0" fontId="0" fillId="8" borderId="8" xfId="0" applyFill="1" applyBorder="1" applyAlignment="1">
      <alignment horizontal="center"/>
    </xf>
    <xf numFmtId="164" fontId="0" fillId="8" borderId="8" xfId="1" applyNumberFormat="1" applyFont="1" applyFill="1" applyBorder="1" applyAlignment="1">
      <alignment horizontal="center"/>
    </xf>
    <xf numFmtId="0" fontId="0" fillId="8" borderId="8" xfId="1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8" xfId="0" applyFill="1" applyBorder="1" applyAlignment="1">
      <alignment horizontal="left" vertical="center"/>
    </xf>
    <xf numFmtId="0" fontId="2" fillId="8" borderId="8" xfId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8" borderId="8" xfId="0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4" fillId="8" borderId="12" xfId="0" applyFont="1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164" fontId="0" fillId="10" borderId="8" xfId="1" applyNumberFormat="1" applyFont="1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1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14" fillId="10" borderId="12" xfId="0" applyFont="1" applyFill="1" applyBorder="1" applyAlignment="1">
      <alignment horizontal="center"/>
    </xf>
    <xf numFmtId="0" fontId="2" fillId="10" borderId="8" xfId="1" applyFill="1" applyBorder="1" applyAlignment="1">
      <alignment horizontal="center"/>
    </xf>
    <xf numFmtId="0" fontId="15" fillId="10" borderId="12" xfId="0" applyFont="1" applyFill="1" applyBorder="1" applyAlignment="1">
      <alignment horizontal="center"/>
    </xf>
    <xf numFmtId="0" fontId="0" fillId="10" borderId="8" xfId="0" applyFill="1" applyBorder="1" applyAlignment="1">
      <alignment horizontal="left" vertical="center"/>
    </xf>
    <xf numFmtId="0" fontId="2" fillId="10" borderId="8" xfId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10" borderId="8" xfId="0" applyFont="1" applyFill="1" applyBorder="1" applyAlignment="1">
      <alignment horizontal="center"/>
    </xf>
    <xf numFmtId="0" fontId="0" fillId="10" borderId="0" xfId="0" applyFill="1"/>
    <xf numFmtId="0" fontId="0" fillId="3" borderId="0" xfId="0" applyFill="1" applyAlignment="1">
      <alignment horizontal="center" vertical="center"/>
    </xf>
    <xf numFmtId="0" fontId="7" fillId="2" borderId="3" xfId="0" applyFont="1" applyFill="1" applyBorder="1" applyAlignment="1">
      <alignment horizontal="left"/>
    </xf>
    <xf numFmtId="0" fontId="0" fillId="0" borderId="8" xfId="1" applyFont="1" applyBorder="1" applyAlignment="1">
      <alignment horizontal="left"/>
    </xf>
  </cellXfs>
  <cellStyles count="3">
    <cellStyle name="Hiperlink" xfId="2" builtinId="8"/>
    <cellStyle name="Normal" xfId="0" builtinId="0"/>
    <cellStyle name="Normal 2" xfId="1" xr:uid="{E160654D-5941-47EB-935B-4267E66D50A5}"/>
  </cellStyles>
  <dxfs count="6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156082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156082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156082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156082"/>
        </bottom>
      </border>
    </dxf>
    <dxf>
      <numFmt numFmtId="0" formatCode="General"/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  <protection locked="1" hidden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  <protection locked="1" hidden="0"/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color rgb="FF000000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156082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  <protection locked="1" hidden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numFmt numFmtId="19" formatCode="dd/mm/yyyy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  <protection locked="1" hidden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[Ongoing - Melhorias Funil de Vendas - Livre.xlsx]Painel!Tabela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Painel!$B$3:$B$4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Painel!$A$5:$A$11</c:f>
              <c:strCache>
                <c:ptCount val="6"/>
                <c:pt idx="0">
                  <c:v>Em Desenvolvimento</c:v>
                </c:pt>
                <c:pt idx="1">
                  <c:v>Entregue</c:v>
                </c:pt>
                <c:pt idx="2">
                  <c:v>Backlog</c:v>
                </c:pt>
                <c:pt idx="3">
                  <c:v>Paralisado</c:v>
                </c:pt>
                <c:pt idx="4">
                  <c:v>QA</c:v>
                </c:pt>
                <c:pt idx="5">
                  <c:v>Removido</c:v>
                </c:pt>
              </c:strCache>
            </c:strRef>
          </c:cat>
          <c:val>
            <c:numRef>
              <c:f>Painel!$B$5:$B$11</c:f>
              <c:numCache>
                <c:formatCode>General</c:formatCode>
                <c:ptCount val="6"/>
                <c:pt idx="0">
                  <c:v>6</c:v>
                </c:pt>
                <c:pt idx="1">
                  <c:v>95</c:v>
                </c:pt>
                <c:pt idx="2">
                  <c:v>21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A-4845-885D-A678DFB1E0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448464"/>
        <c:axId val="807447984"/>
      </c:barChart>
      <c:catAx>
        <c:axId val="80744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7447984"/>
        <c:crosses val="autoZero"/>
        <c:auto val="1"/>
        <c:lblAlgn val="ctr"/>
        <c:lblOffset val="100"/>
        <c:noMultiLvlLbl val="0"/>
      </c:catAx>
      <c:valAx>
        <c:axId val="807447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0744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0af61846-4d76-4eb8-a80e-2d58df2c8c1a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s://unidasti-my.sharepoint.com/:x:/g/personal/pedro_henrique_unidas_com_br/IQAaATc83ptOTabpF2ilwmxuARDVuyLQcygDcjClu60k0nY?e=iZyKt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76200</xdr:rowOff>
    </xdr:from>
    <xdr:to>
      <xdr:col>15</xdr:col>
      <xdr:colOff>495300</xdr:colOff>
      <xdr:row>20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C3F083-7DC8-7006-9C37-7086ED03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419100</xdr:colOff>
      <xdr:row>0</xdr:row>
      <xdr:rowOff>0</xdr:rowOff>
    </xdr:from>
    <xdr:to>
      <xdr:col>18</xdr:col>
      <xdr:colOff>47625</xdr:colOff>
      <xdr:row>7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586029E-2AD6-4180-A6DE-62328EB655CC}"/>
            </a:ext>
            <a:ext uri="{147F2762-F138-4A5C-976F-8EAC2B608ADB}">
              <a16:predDERef xmlns:a16="http://schemas.microsoft.com/office/drawing/2014/main" pred="{9FC3F083-7DC8-7006-9C37-7086ED03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4075" y="0"/>
          <a:ext cx="1457325" cy="1381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20</xdr:row>
      <xdr:rowOff>0</xdr:rowOff>
    </xdr:from>
    <xdr:to>
      <xdr:col>11</xdr:col>
      <xdr:colOff>171450</xdr:colOff>
      <xdr:row>20</xdr:row>
      <xdr:rowOff>171450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399D4-0EEB-6DB3-3D0E-35FBDA9A4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5850" y="168656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5</bagId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line Galarce Demetrio" id="{022A1A74-7690-4F86-8BB7-2FFDD7BEDB71}" userId="S::aline.demetrio@unidas.com.br::d870608b-3690-4fb2-8a61-03515058f47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3.452817129626" createdVersion="8" refreshedVersion="8" minRefreshableVersion="3" recordCount="128" xr:uid="{54DC3F2C-7A64-402E-821B-5F26F69CFD32}">
  <cacheSource type="worksheet">
    <worksheetSource name="Tabela1"/>
  </cacheSource>
  <cacheFields count="21">
    <cacheField name="ID" numFmtId="0">
      <sharedItems containsMixedTypes="1" containsNumber="1" containsInteger="1" minValue="1" maxValue="128"/>
    </cacheField>
    <cacheField name="Data da Inserção" numFmtId="0">
      <sharedItems containsDate="1" containsMixedTypes="1" minDate="2025-02-12T00:00:00" maxDate="2026-12-04T00:00:00"/>
    </cacheField>
    <cacheField name="Solicitante" numFmtId="0">
      <sharedItems/>
    </cacheField>
    <cacheField name="Área" numFmtId="0">
      <sharedItems/>
    </cacheField>
    <cacheField name="Chamado" numFmtId="0">
      <sharedItems containsBlank="1" containsMixedTypes="1" containsNumber="1" containsInteger="1" minValue="0" maxValue="0"/>
    </cacheField>
    <cacheField name="Squad" numFmtId="0">
      <sharedItems/>
    </cacheField>
    <cacheField name="Status" numFmtId="0">
      <sharedItems containsMixedTypes="1" containsNumber="1" containsInteger="1" minValue="0" maxValue="0" count="7">
        <s v="Entregue"/>
        <s v="Paralisado"/>
        <s v="Em Desenvolvimento"/>
        <s v="Backlog"/>
        <s v="Removido"/>
        <s v="QA"/>
        <n v="0" u="1"/>
      </sharedItems>
    </cacheField>
    <cacheField name="Avaliação área de Negocio" numFmtId="0">
      <sharedItems containsMixedTypes="1" containsNumber="1" containsInteger="1" minValue="0" maxValue="3"/>
    </cacheField>
    <cacheField name="Classificação área" numFmtId="0">
      <sharedItems/>
    </cacheField>
    <cacheField name="Resumo Melhoria" numFmtId="0">
      <sharedItems/>
    </cacheField>
    <cacheField name="Descrição" numFmtId="0">
      <sharedItems containsSemiMixedTypes="0" containsString="0" containsNumber="1" containsInteger="1" minValue="0" maxValue="0"/>
    </cacheField>
    <cacheField name="OBS" numFmtId="0">
      <sharedItems containsMixedTypes="1" containsNumber="1" containsInteger="1" minValue="0" maxValue="0"/>
    </cacheField>
    <cacheField name="Tamanho" numFmtId="0">
      <sharedItems containsMixedTypes="1" containsNumber="1" containsInteger="1" minValue="0" maxValue="0"/>
    </cacheField>
    <cacheField name="Comitê de TI" numFmtId="0">
      <sharedItems containsBlank="1"/>
    </cacheField>
    <cacheField name="Squad On Going" numFmtId="0">
      <sharedItems containsBlank="1"/>
    </cacheField>
    <cacheField name="Nº Azure" numFmtId="0">
      <sharedItems containsMixedTypes="1" containsNumber="1" containsInteger="1" minValue="0" maxValue="669766"/>
    </cacheField>
    <cacheField name="Gravidade" numFmtId="0">
      <sharedItems containsMixedTypes="1" containsNumber="1" containsInteger="1" minValue="0" maxValue="3"/>
    </cacheField>
    <cacheField name="Urgência" numFmtId="0">
      <sharedItems containsMixedTypes="1" containsNumber="1" containsInteger="1" minValue="0" maxValue="3"/>
    </cacheField>
    <cacheField name="Tendência" numFmtId="0">
      <sharedItems containsMixedTypes="1" containsNumber="1" containsInteger="1" minValue="0" maxValue="3"/>
    </cacheField>
    <cacheField name="Resultado GUT" numFmtId="0">
      <sharedItems containsMixedTypes="1" containsNumber="1" containsInteger="1" minValue="0" maxValue="9"/>
    </cacheField>
    <cacheField name="Prioridade" numFmtId="0">
      <sharedItems containsBlank="1" containsMixedTypes="1" containsNumber="1" containsInteger="1" minValue="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ID"/>
    <d v="2025-04-11T00:00:00"/>
    <s v="Daniela Mochon"/>
    <s v="Comercial"/>
    <n v="0"/>
    <s v="Funil"/>
    <x v="0"/>
    <n v="3"/>
    <s v="Melhoria"/>
    <s v="LEAD | Distribuição Automática e Inteligente de Leads no Salesforce (Vendedores Internos)"/>
    <n v="0"/>
    <n v="0"/>
    <s v="G"/>
    <b v="0"/>
    <b v="0"/>
    <n v="364684"/>
    <n v="1"/>
    <n v="2"/>
    <n v="3"/>
    <n v="6"/>
    <n v="1"/>
  </r>
  <r>
    <n v="1"/>
    <s v="18/08/25"/>
    <s v="Monique Evelin"/>
    <s v="Crédito"/>
    <n v="0"/>
    <s v="Funil"/>
    <x v="1"/>
    <n v="3"/>
    <s v="Melhoria"/>
    <s v="CONTRATO | Viabilizar a subida de documentos complementares de crédito."/>
    <n v="0"/>
    <n v="0"/>
    <s v="G"/>
    <b v="0"/>
    <b v="0"/>
    <n v="329942"/>
    <n v="2"/>
    <n v="2"/>
    <n v="1"/>
    <n v="5"/>
    <n v="11"/>
  </r>
  <r>
    <n v="2"/>
    <s v="27/10/25"/>
    <s v="Daniela Mochon"/>
    <s v="Comercial"/>
    <n v="0"/>
    <s v="Funil"/>
    <x v="1"/>
    <n v="1"/>
    <s v="Melhoria"/>
    <s v="OPORTUNIDADE | Integração com QI Tech para Validação de CNH (Liveness)"/>
    <n v="0"/>
    <n v="0"/>
    <s v="G"/>
    <b v="0"/>
    <b v="0"/>
    <n v="359695"/>
    <n v="1"/>
    <n v="1"/>
    <n v="1"/>
    <n v="3"/>
    <n v="22"/>
  </r>
  <r>
    <n v="3"/>
    <d v="2025-04-07T00:00:00"/>
    <s v="Daniela Mochon"/>
    <s v="Comercial"/>
    <n v="0"/>
    <s v="Funil"/>
    <x v="0"/>
    <s v=" "/>
    <s v="Melhoria"/>
    <s v="ATLAS | Remover a limitação de 150 propostas na exibição com filtros de Status aplicados em &quot;Minhas propostas&quot;"/>
    <n v="0"/>
    <n v="0"/>
    <n v="0"/>
    <m/>
    <m/>
    <n v="312387"/>
    <s v=" "/>
    <s v=" "/>
    <s v=" "/>
    <e v="#VALUE!"/>
    <s v=" "/>
  </r>
  <r>
    <n v="4"/>
    <s v="22/04/26"/>
    <s v="Daniela Mochon"/>
    <s v="Comercial"/>
    <s v="C2604-24461"/>
    <s v="Funil"/>
    <x v="0"/>
    <n v="1"/>
    <s v="BUG"/>
    <s v="CONTA | Permitir alteração manual do nome da Conta para registros criados de forma sistêmica"/>
    <n v="0"/>
    <n v="0"/>
    <n v="0"/>
    <m/>
    <m/>
    <n v="593226"/>
    <n v="1"/>
    <n v="3"/>
    <n v="3"/>
    <n v="7"/>
    <n v="9"/>
  </r>
  <r>
    <n v="5"/>
    <s v="18/11/25"/>
    <s v="Daniela Mochon"/>
    <s v="Comercial"/>
    <n v="0"/>
    <s v="Funil"/>
    <x v="0"/>
    <n v="3"/>
    <s v="Melhoria"/>
    <s v="OPORTUNIDADE | Criação de Nova Oportunidade a partir de Fechamento da Op de Renovação"/>
    <n v="0"/>
    <n v="0"/>
    <n v="0"/>
    <m/>
    <m/>
    <n v="371328"/>
    <n v="3"/>
    <n v="3"/>
    <n v="3"/>
    <n v="9"/>
    <n v="4"/>
  </r>
  <r>
    <n v="6"/>
    <s v="29/04/26"/>
    <s v="Pedro Henrique"/>
    <s v="Comercial"/>
    <s v="C2604-17343"/>
    <s v="Funil"/>
    <x v="0"/>
    <n v="1"/>
    <s v="BUG"/>
    <s v="OPORTUNIDADE | Desenvolver Correção do Status da Análise de Crédito"/>
    <n v="0"/>
    <n v="0"/>
    <n v="0"/>
    <m/>
    <m/>
    <n v="625264"/>
    <n v="2"/>
    <n v="1"/>
    <n v="2"/>
    <n v="5"/>
    <n v="13"/>
  </r>
  <r>
    <n v="7"/>
    <s v="27/04/26"/>
    <s v="Monique Evelin"/>
    <s v="Crédito"/>
    <n v="0"/>
    <s v="Funil"/>
    <x v="0"/>
    <n v="1"/>
    <s v="Melhoria"/>
    <s v="CONTA | Botão Manual para Consulta SERASA na Conta (Pessoa Física)"/>
    <n v="0"/>
    <n v="0"/>
    <s v="M"/>
    <m/>
    <m/>
    <n v="625328"/>
    <n v="1"/>
    <n v="1"/>
    <n v="1"/>
    <n v="3"/>
    <n v="22"/>
  </r>
  <r>
    <n v="8"/>
    <s v="23/02/26"/>
    <s v="Daniela Mochon"/>
    <s v="Comercial"/>
    <n v="0"/>
    <s v="Funil"/>
    <x v="2"/>
    <n v="1"/>
    <s v="Melhoria"/>
    <s v="QUOTE | Desenvolver envio de Opcionais no Pedido de Compra para o Locavia"/>
    <n v="0"/>
    <n v="0"/>
    <s v="M"/>
    <m/>
    <m/>
    <n v="397306"/>
    <n v="2"/>
    <n v="2"/>
    <n v="1"/>
    <n v="5"/>
    <n v="2"/>
  </r>
  <r>
    <n v="9"/>
    <d v="2026-09-04T00:00:00"/>
    <s v="Daniela Mochon"/>
    <s v="Comercial"/>
    <n v="0"/>
    <s v="Funil"/>
    <x v="2"/>
    <n v="1"/>
    <s v="BUG"/>
    <s v="OPORTUNIDADE | Desenvolver correção para atualização do motivo do pedido de compra em cenários de renovação"/>
    <n v="0"/>
    <n v="0"/>
    <s v="P"/>
    <m/>
    <m/>
    <n v="543229"/>
    <n v="1"/>
    <n v="1"/>
    <n v="1"/>
    <n v="3"/>
    <n v="21"/>
  </r>
  <r>
    <n v="10"/>
    <d v="2026-09-04T00:00:00"/>
    <s v="Daniela Mochon"/>
    <s v="Comercial"/>
    <n v="0"/>
    <s v="Funil"/>
    <x v="0"/>
    <n v="1"/>
    <s v="Melhoria"/>
    <s v="OPORTUNIDADE | Permitir geração de pedido de compra sem delay de 8 dias para casos de retenção de clientes"/>
    <n v="0"/>
    <n v="0"/>
    <s v="M"/>
    <m/>
    <m/>
    <n v="543196"/>
    <n v="2"/>
    <n v="2"/>
    <n v="1"/>
    <n v="5"/>
    <n v="14"/>
  </r>
  <r>
    <n v="11"/>
    <s v="29/04/26"/>
    <s v="Daniela Mochon"/>
    <s v="Comercial"/>
    <n v="0"/>
    <s v="Funil"/>
    <x v="3"/>
    <n v="1"/>
    <s v="Melhoria"/>
    <s v="OPORTUNIDADE | Desenvolver Correção do Status da Análise de Crédito"/>
    <n v="0"/>
    <s v="Sprint 5/6/7"/>
    <n v="0"/>
    <m/>
    <m/>
    <n v="625264"/>
    <n v="2"/>
    <n v="1"/>
    <n v="2"/>
    <n v="5"/>
    <n v="9"/>
  </r>
  <r>
    <n v="12"/>
    <s v="24/04/26"/>
    <s v="Proativo"/>
    <s v="Funil"/>
    <n v="0"/>
    <s v="Funil"/>
    <x v="0"/>
    <s v=" "/>
    <s v="BUG"/>
    <s v="ASSET - Stauts do Ativo Fleet aparecendo no Livre"/>
    <n v="0"/>
    <n v="0"/>
    <n v="0"/>
    <m/>
    <m/>
    <n v="594558"/>
    <s v=" "/>
    <s v=" "/>
    <s v=" "/>
    <e v="#VALUE!"/>
    <s v=" "/>
  </r>
  <r>
    <n v="13"/>
    <s v="22/04/26"/>
    <s v="Pedro Henrique"/>
    <s v="Comercial"/>
    <s v="C2604-23424"/>
    <s v="Funil"/>
    <x v="4"/>
    <s v=" "/>
    <s v="BUG"/>
    <s v="OPORTUNIDADE | Falha pontual no preenchimento automático do campo Valor Total com Desconto"/>
    <n v="0"/>
    <n v="0"/>
    <n v="0"/>
    <m/>
    <m/>
    <n v="593198"/>
    <s v=" "/>
    <s v=" "/>
    <s v=" "/>
    <e v="#VALUE!"/>
    <s v=" "/>
  </r>
  <r>
    <n v="14"/>
    <d v="2026-09-04T00:00:00"/>
    <s v="Daniela Mochon"/>
    <s v="Comercial"/>
    <n v="0"/>
    <s v="Funil"/>
    <x v="3"/>
    <n v="1"/>
    <s v="Melhoria"/>
    <s v="CONTA | Criar botão na conta para geração antecipada de oportunidade de renovação"/>
    <n v="0"/>
    <s v="Sprint 5/6/7"/>
    <n v="0"/>
    <m/>
    <m/>
    <n v="543233"/>
    <n v="1"/>
    <n v="1"/>
    <n v="1"/>
    <n v="3"/>
    <n v="20"/>
  </r>
  <r>
    <n v="15"/>
    <d v="2026-09-04T00:00:00"/>
    <s v="Daniela Mochon"/>
    <s v="Comercial"/>
    <n v="0"/>
    <s v="Atlas"/>
    <x v="3"/>
    <n v="1"/>
    <s v="Melhoria"/>
    <s v="OPORTUNIDADE | Permitir o envio de propostas de renovação de colaboradores e parceiros via Atlas"/>
    <n v="0"/>
    <n v="0"/>
    <n v="0"/>
    <m/>
    <m/>
    <n v="543212"/>
    <n v="1"/>
    <n v="1"/>
    <n v="1"/>
    <n v="3"/>
    <s v="-"/>
  </r>
  <r>
    <n v="17"/>
    <s v="14/04/26"/>
    <s v="Daniela Mochon"/>
    <s v="Comercial"/>
    <n v="0"/>
    <s v="Funil"/>
    <x v="3"/>
    <n v="1"/>
    <s v="Melhoria"/>
    <s v="OPORTUNIDADE | Preenchimento automático da Data de Retorno da Análise de Dados em Oportunidades de Renovação"/>
    <n v="0"/>
    <n v="0"/>
    <n v="0"/>
    <m/>
    <m/>
    <n v="561852"/>
    <n v="2"/>
    <n v="1"/>
    <n v="2"/>
    <n v="5"/>
    <n v="14"/>
  </r>
  <r>
    <n v="18"/>
    <d v="2026-09-04T00:00:00"/>
    <s v="Daniela Mochon"/>
    <s v="Comercial"/>
    <n v="0"/>
    <s v="Funil"/>
    <x v="3"/>
    <n v="1"/>
    <s v="Melhoria"/>
    <s v="OPORTUNIDADE | Disparar e-mail ao vendedor quando o crédito reprovar uma renovação"/>
    <n v="0"/>
    <n v="0"/>
    <s v="M"/>
    <m/>
    <m/>
    <n v="543213"/>
    <n v="1"/>
    <n v="1"/>
    <n v="1"/>
    <n v="3"/>
    <n v="11"/>
  </r>
  <r>
    <n v="19"/>
    <d v="2026-09-04T00:00:00"/>
    <s v="Daniela Mochon"/>
    <s v="Comercial"/>
    <n v="0"/>
    <s v="Funil"/>
    <x v="3"/>
    <n v="1"/>
    <s v="Melhoria"/>
    <s v="OPORTUNIDADE | Adicionar campo “Data término do contrato” nas oportunidades de renovação"/>
    <n v="0"/>
    <s v="Sprint 5"/>
    <n v="0"/>
    <m/>
    <m/>
    <n v="543226"/>
    <n v="1"/>
    <n v="1"/>
    <n v="1"/>
    <n v="3"/>
    <n v="13"/>
  </r>
  <r>
    <n v="20"/>
    <d v="2026-09-04T00:00:00"/>
    <s v="Daniela Mochon"/>
    <s v="Comercial"/>
    <n v="0"/>
    <s v="Funil"/>
    <x v="3"/>
    <n v="1"/>
    <s v="Melhoria"/>
    <s v="OPORTUNIDADE | Criar campo para rastrear a data da última alteração da subfase da oportunidade"/>
    <n v="0"/>
    <n v="0"/>
    <s v="P"/>
    <m/>
    <m/>
    <n v="543185"/>
    <n v="2"/>
    <n v="1"/>
    <n v="2"/>
    <n v="5"/>
    <n v="7"/>
  </r>
  <r>
    <n v="21"/>
    <d v="2026-09-04T00:00:00"/>
    <s v="Daniela Mochon"/>
    <s v="Comercial"/>
    <n v="0"/>
    <s v="Funil"/>
    <x v="3"/>
    <n v="3"/>
    <s v="Melhoria"/>
    <s v="CONTRATO | Criar categoria de contrato “Renovação – Troca de Titularidade” com regras específicas de operação e cobrança"/>
    <n v="0"/>
    <n v="0"/>
    <s v="M"/>
    <m/>
    <m/>
    <n v="543148"/>
    <n v="3"/>
    <n v="2"/>
    <n v="2"/>
    <n v="7"/>
    <n v="8"/>
  </r>
  <r>
    <n v="22"/>
    <d v="2026-08-04T00:00:00"/>
    <s v="Daniela Mochon"/>
    <s v="Comercial"/>
    <n v="0"/>
    <s v="Funil"/>
    <x v="3"/>
    <n v="1"/>
    <s v="Melhoria"/>
    <s v="OPORTUNIDADE | Criar e preencher o campo “Revendedor Dono da Conta” para controle de comissionamentos"/>
    <n v="0"/>
    <n v="0"/>
    <n v="0"/>
    <m/>
    <m/>
    <n v="539664"/>
    <n v="1"/>
    <n v="3"/>
    <n v="3"/>
    <n v="7"/>
    <n v="15"/>
  </r>
  <r>
    <n v="23"/>
    <d v="2026-08-04T00:00:00"/>
    <s v="Daniela Mochon"/>
    <s v="Comercial"/>
    <n v="0"/>
    <s v="Funil"/>
    <x v="3"/>
    <s v=" "/>
    <s v="Melhoria"/>
    <s v="OPORTUNIDADE | Reversão automática de “Fechado Ganho” para “Fechado Perdido” em caso de cancelamento antes da entrega"/>
    <n v="0"/>
    <n v="0"/>
    <n v="0"/>
    <m/>
    <m/>
    <n v="539599"/>
    <s v=" "/>
    <s v=" "/>
    <s v=" "/>
    <e v="#VALUE!"/>
    <n v="8"/>
  </r>
  <r>
    <n v="24"/>
    <d v="2026-08-04T00:00:00"/>
    <s v="Daniela Mochon"/>
    <s v="Comercial"/>
    <n v="0"/>
    <s v="Funil"/>
    <x v="3"/>
    <n v="3"/>
    <s v="BUG"/>
    <s v="OPORTUNIDADE | Garantir o envio e registro do desconto de 3% do Atlas para o Salesforce"/>
    <n v="0"/>
    <n v="0"/>
    <n v="0"/>
    <m/>
    <m/>
    <n v="539594"/>
    <n v="3"/>
    <n v="2"/>
    <n v="3"/>
    <n v="8"/>
    <n v="5"/>
  </r>
  <r>
    <n v="25"/>
    <d v="2026-08-04T00:00:00"/>
    <s v="Daniela Mochon"/>
    <s v="Comercial"/>
    <n v="0"/>
    <s v="Funil"/>
    <x v="3"/>
    <n v="3"/>
    <s v="Melhoria"/>
    <s v="OPORTUNIDADE | Preencher automaticamente a data de cobrança da primeira parcela em oportunidades de renovação"/>
    <n v="0"/>
    <n v="0"/>
    <s v="M"/>
    <m/>
    <m/>
    <n v="539590"/>
    <n v="3"/>
    <n v="3"/>
    <n v="3"/>
    <n v="9"/>
    <n v="4"/>
  </r>
  <r>
    <n v="26"/>
    <d v="2026-08-04T00:00:00"/>
    <s v="Daniela Mochon"/>
    <s v="Comercial"/>
    <n v="0"/>
    <s v="Funil"/>
    <x v="3"/>
    <n v="3"/>
    <s v="Melhoria"/>
    <s v="CONTRATO | Atualizar automaticamente status e dados de contratos e pedidos via integração entre Salesforce e Locavia"/>
    <n v="0"/>
    <n v="0"/>
    <s v="GG"/>
    <m/>
    <m/>
    <n v="539582"/>
    <n v="3"/>
    <n v="2"/>
    <n v="3"/>
    <n v="8"/>
    <n v="1"/>
  </r>
  <r>
    <n v="27"/>
    <d v="2026-08-04T00:00:00"/>
    <s v="Daniela Mochon"/>
    <s v="Comercial"/>
    <n v="0"/>
    <s v="Funil"/>
    <x v="5"/>
    <n v="1"/>
    <s v="Melhoria"/>
    <s v="OPORTUNIDADE | Substituir exibição de endereço detalhado de fornecedores por localização genérica"/>
    <n v="0"/>
    <n v="0"/>
    <s v="P"/>
    <m/>
    <m/>
    <n v="539556"/>
    <n v="1"/>
    <n v="2"/>
    <n v="2"/>
    <n v="5"/>
    <n v="6"/>
  </r>
  <r>
    <n v="28"/>
    <d v="2026-03-02T00:00:00"/>
    <s v="Daniela Mochon"/>
    <s v="Comercial"/>
    <n v="0"/>
    <s v="Funil"/>
    <x v="3"/>
    <s v=" "/>
    <s v="Melhoria"/>
    <s v="PERFIL | Conceder acesso às informações de Fleet mantendo perfil IRIS_Gestor_Comercial_Livre"/>
    <n v="0"/>
    <n v="0"/>
    <n v="0"/>
    <m/>
    <m/>
    <n v="392707"/>
    <s v=" "/>
    <s v=" "/>
    <s v=" "/>
    <e v="#VALUE!"/>
    <n v="17"/>
  </r>
  <r>
    <n v="29"/>
    <d v="2025-07-07T00:00:00"/>
    <s v="Daniela Mochon"/>
    <s v="Comercial"/>
    <n v="0"/>
    <s v="Funil"/>
    <x v="3"/>
    <n v="1"/>
    <s v="Melhoria"/>
    <s v="CASO | Liberação de acesso ao campo CNPJ_Fornecedor_Relacionado__c para perfil Front Office Comercial Leves"/>
    <n v="0"/>
    <n v="0"/>
    <n v="0"/>
    <m/>
    <m/>
    <n v="312689"/>
    <n v="1"/>
    <n v="3"/>
    <n v="3"/>
    <n v="7"/>
    <n v="18"/>
  </r>
  <r>
    <n v="30"/>
    <s v="22/10/25"/>
    <s v="Daniela Mochon"/>
    <s v="Comercial"/>
    <n v="0"/>
    <s v="Funil"/>
    <x v="3"/>
    <s v=" "/>
    <s v="Melhoria"/>
    <s v="LEAD | Serviço de Consulta de CEP do Funil de Vendas"/>
    <n v="0"/>
    <n v="0"/>
    <s v="M"/>
    <m/>
    <m/>
    <n v="358303"/>
    <s v=" "/>
    <s v=" "/>
    <s v=" "/>
    <e v="#VALUE!"/>
    <n v="3"/>
  </r>
  <r>
    <n v="31"/>
    <s v="21/01/26"/>
    <s v="Daniela Mochon"/>
    <s v="Comercial"/>
    <s v="C2601-22639 "/>
    <s v="Funil"/>
    <x v="0"/>
    <n v="2"/>
    <s v="BUG"/>
    <s v="CONTRATO | Tornar FirstName não obrigatório na criação de Contrato"/>
    <n v="0"/>
    <n v="0"/>
    <n v="0"/>
    <m/>
    <m/>
    <n v="389294"/>
    <n v="3"/>
    <n v="3"/>
    <n v="3"/>
    <n v="9"/>
    <n v="2"/>
  </r>
  <r>
    <n v="32"/>
    <s v="23/03/26"/>
    <s v="Proativo"/>
    <s v="Funil"/>
    <n v="0"/>
    <s v="Funil"/>
    <x v="0"/>
    <n v="1"/>
    <s v="BUG "/>
    <s v="OPORTUNIDADE | Tratar descrição de LOG para Pedido de Compra"/>
    <n v="0"/>
    <n v="0"/>
    <n v="0"/>
    <m/>
    <m/>
    <n v="484927"/>
    <n v="1"/>
    <n v="1"/>
    <n v="1"/>
    <n v="3"/>
    <n v="21"/>
  </r>
  <r>
    <n v="33"/>
    <d v="2026-11-03T00:00:00"/>
    <s v="Daniela Mochon"/>
    <s v="Comercial"/>
    <s v="C2603-13439"/>
    <s v="Funil"/>
    <x v="0"/>
    <n v="1"/>
    <s v="BUG "/>
    <s v="CONTA | Alterar Nome do Cliente após Subida de Nova Proposta"/>
    <n v="0"/>
    <n v="0"/>
    <n v="0"/>
    <m/>
    <m/>
    <n v="419044"/>
    <n v="1"/>
    <n v="1"/>
    <n v="1"/>
    <n v="3"/>
    <n v="20"/>
  </r>
  <r>
    <n v="34"/>
    <s v="14/01/26"/>
    <s v="Daniela Mochon"/>
    <s v="Comercial"/>
    <n v="0"/>
    <s v="Funil"/>
    <x v="0"/>
    <n v="1"/>
    <s v="Melhoria"/>
    <s v="OPORTUNIDADE | Desenvolver Exibição do Ano/Modelo na Oportunidade"/>
    <n v="0"/>
    <n v="0"/>
    <n v="0"/>
    <m/>
    <m/>
    <n v="387493"/>
    <n v="1"/>
    <n v="1"/>
    <n v="1"/>
    <n v="3"/>
    <n v="20"/>
  </r>
  <r>
    <n v="35"/>
    <d v="2026-06-04T00:00:00"/>
    <s v="Daniela Mochon"/>
    <s v="Comercial"/>
    <s v="M2604-10920"/>
    <s v="Funil"/>
    <x v="0"/>
    <s v=" "/>
    <s v="Melhoria"/>
    <s v="LEAD | Melhoria no processo de Consulta SERASA + Log"/>
    <n v="0"/>
    <n v="0"/>
    <n v="0"/>
    <m/>
    <m/>
    <n v="534334"/>
    <s v=" "/>
    <s v=" "/>
    <s v=" "/>
    <e v="#VALUE!"/>
    <s v=" "/>
  </r>
  <r>
    <n v="36"/>
    <d v="2026-07-02T00:00:00"/>
    <s v="Daniela Mochon"/>
    <s v="Comercial"/>
    <n v="0"/>
    <s v="Funil"/>
    <x v="0"/>
    <n v="3"/>
    <s v="Melhoria"/>
    <s v="OPORTUNIDADE | Desenvolvimento de Subfases para oportunidades de Renovação"/>
    <n v="0"/>
    <n v="0"/>
    <n v="0"/>
    <m/>
    <m/>
    <n v="394012"/>
    <n v="3"/>
    <n v="3"/>
    <n v="3"/>
    <n v="9"/>
    <n v="4"/>
  </r>
  <r>
    <n v="37"/>
    <d v="2026-04-03T00:00:00"/>
    <s v="Daniela Mochon"/>
    <s v="Comercial"/>
    <n v="0"/>
    <s v="Funil"/>
    <x v="0"/>
    <s v=" "/>
    <s v="Melhoria"/>
    <s v="OPORTUNIDADE | Desenvolver obrigatoriedade do Campo Subfase"/>
    <n v="0"/>
    <n v="0"/>
    <n v="0"/>
    <m/>
    <m/>
    <n v="409101"/>
    <s v=" "/>
    <s v=" "/>
    <s v=" "/>
    <e v="#VALUE!"/>
    <s v=" "/>
  </r>
  <r>
    <n v="38"/>
    <d v="2026-11-03T00:00:00"/>
    <s v="Daniela Mochon"/>
    <s v="Comercial"/>
    <n v="0"/>
    <s v="Funil"/>
    <x v="0"/>
    <n v="2"/>
    <s v="Melhoria"/>
    <s v="OPORTUNIDADE | Remover perfis do bloqueio de edição de campos na Oportunidade."/>
    <n v="0"/>
    <n v="0"/>
    <n v="0"/>
    <m/>
    <m/>
    <n v="417288"/>
    <n v="3"/>
    <n v="3"/>
    <n v="3"/>
    <n v="9"/>
    <n v="2"/>
  </r>
  <r>
    <n v="39"/>
    <s v="22/12/25"/>
    <s v="Pedro Henrique"/>
    <s v="Comercial"/>
    <n v="0"/>
    <s v="Funil"/>
    <x v="0"/>
    <n v="3"/>
    <s v="Melhoria"/>
    <s v="OPORTUNIDADE | Liberar para edição de Oportunidades (Stage e Motivo)"/>
    <n v="0"/>
    <n v="0"/>
    <n v="0"/>
    <m/>
    <m/>
    <n v="383071"/>
    <n v="3"/>
    <n v="3"/>
    <n v="3"/>
    <n v="9"/>
    <n v="4"/>
  </r>
  <r>
    <n v="40"/>
    <d v="2026-07-02T00:00:00"/>
    <s v="Daniela Mochon"/>
    <s v="Comercial"/>
    <n v="0"/>
    <s v="Funil"/>
    <x v="0"/>
    <n v="1"/>
    <s v="BUG "/>
    <s v="CONTRATO | Desenvolver remoção da trava de Cadastro SF x Assinatura"/>
    <n v="0"/>
    <n v="0"/>
    <n v="0"/>
    <m/>
    <m/>
    <n v="394013"/>
    <n v="2"/>
    <n v="1"/>
    <n v="2"/>
    <n v="5"/>
    <n v="13"/>
  </r>
  <r>
    <n v="41"/>
    <s v="18/03/26"/>
    <s v="Monique Evelin"/>
    <s v="Comercial"/>
    <n v="0"/>
    <s v="Funil"/>
    <x v="0"/>
    <n v="3"/>
    <s v="Melhoria"/>
    <s v="CONTRATO | Integração com Plataforma de Crédito &quot;Tipo de Contrato&quot;"/>
    <n v="0"/>
    <n v="0"/>
    <n v="0"/>
    <m/>
    <m/>
    <n v="457607"/>
    <n v="3"/>
    <n v="2"/>
    <n v="2"/>
    <n v="7"/>
    <n v="10"/>
  </r>
  <r>
    <n v="42"/>
    <d v="2026-12-03T00:00:00"/>
    <s v="Pedro Henrique"/>
    <s v="Comercial"/>
    <n v="0"/>
    <s v="Funil"/>
    <x v="0"/>
    <n v="1"/>
    <s v="Melhoria"/>
    <s v="CONTRATO | Desenvolver JOB para que apenas 5 tipos de contratos gerem a Renovação"/>
    <n v="0"/>
    <n v="0"/>
    <n v="0"/>
    <m/>
    <m/>
    <n v="428396"/>
    <n v="1"/>
    <n v="1"/>
    <n v="1"/>
    <n v="3"/>
    <n v="19"/>
  </r>
  <r>
    <n v="43"/>
    <s v="23/02/26"/>
    <s v="Pedro Henrique"/>
    <s v="Comercial"/>
    <n v="0"/>
    <s v="Funil"/>
    <x v="0"/>
    <s v=" "/>
    <s v="BUG "/>
    <s v="OPORTUNIDADE | Desenvolver correção Motivo de Perda (Fechado Perdido)"/>
    <n v="0"/>
    <n v="0"/>
    <n v="0"/>
    <m/>
    <m/>
    <n v="397404"/>
    <s v=" "/>
    <s v=" "/>
    <s v=" "/>
    <e v="#VALUE!"/>
    <s v=" "/>
  </r>
  <r>
    <n v="44"/>
    <s v="17/11/25"/>
    <s v="Aline Lucia Zarnicinski"/>
    <s v="Comercial"/>
    <n v="0"/>
    <s v="Funil"/>
    <x v="0"/>
    <s v=" "/>
    <s v="Melhoria"/>
    <s v="INTEGRAÇÃO | Adequações de Informações Enviadas ao SAP Commissions (Projeto SAPCOM – Nova Política)"/>
    <n v="0"/>
    <n v="0"/>
    <n v="0"/>
    <m/>
    <m/>
    <n v="370939"/>
    <s v=" "/>
    <s v=" "/>
    <s v=" "/>
    <e v="#VALUE!"/>
    <s v=" "/>
  </r>
  <r>
    <n v="45"/>
    <s v="16/01/26"/>
    <s v="Daniela Mochon"/>
    <s v="Comercial"/>
    <n v="0"/>
    <s v="Funil"/>
    <x v="0"/>
    <n v="3"/>
    <s v="Melhoria"/>
    <s v="LEAD | Desenvolver Reencaminhamento de Leads “Lost” para SDR com Validação por Cidade"/>
    <n v="0"/>
    <n v="0"/>
    <n v="0"/>
    <m/>
    <m/>
    <n v="388244"/>
    <n v="3"/>
    <n v="3"/>
    <n v="3"/>
    <n v="9"/>
    <n v="5"/>
  </r>
  <r>
    <n v="46"/>
    <d v="2025-02-12T00:00:00"/>
    <s v="Daniela Mochon"/>
    <s v="Comercial"/>
    <n v="0"/>
    <s v="Funil"/>
    <x v="0"/>
    <s v=" "/>
    <s v="Melhoria"/>
    <s v="OPORTUNIDADE | Preenchimento de Informações do LEAD (Vendedor / Revendedor / Gestor / Venda)"/>
    <n v="0"/>
    <n v="0"/>
    <n v="0"/>
    <m/>
    <m/>
    <n v="376474"/>
    <s v=" "/>
    <s v=" "/>
    <s v=" "/>
    <e v="#VALUE!"/>
    <s v=" "/>
  </r>
  <r>
    <n v="47"/>
    <s v="13/03/26"/>
    <s v="Daniela Mochon"/>
    <s v="Comercial"/>
    <n v="0"/>
    <s v="Funil"/>
    <x v="0"/>
    <n v="3"/>
    <s v="BUG "/>
    <s v="LEAD | Investigar falha na conversão automática de Lead"/>
    <n v="0"/>
    <n v="0"/>
    <n v="0"/>
    <m/>
    <m/>
    <n v="434664"/>
    <n v="3"/>
    <n v="2"/>
    <n v="2"/>
    <n v="7"/>
    <n v="10"/>
  </r>
  <r>
    <n v="48"/>
    <s v="26/02/26"/>
    <s v="Cibele Thais"/>
    <s v="Comercial"/>
    <s v="C2602-34943"/>
    <s v="Funil"/>
    <x v="0"/>
    <n v="1"/>
    <s v="BUG "/>
    <s v="OPORTUNIDADE - Desenvolver correção de mudança indevida do status da Oportunidade"/>
    <n v="0"/>
    <n v="0"/>
    <n v="0"/>
    <m/>
    <m/>
    <n v="398780"/>
    <n v="3"/>
    <n v="2"/>
    <n v="2"/>
    <n v="7"/>
    <n v="0"/>
  </r>
  <r>
    <n v="49"/>
    <s v="23/02/26"/>
    <s v="Proativo"/>
    <s v="Funil"/>
    <n v="0"/>
    <s v="Funil"/>
    <x v="0"/>
    <s v=" "/>
    <s v="BUG "/>
    <s v="ACCOUNT | Desenvolver bloqueio na trigger quando o tipo de registro da Conta for Empresa"/>
    <n v="0"/>
    <n v="0"/>
    <n v="0"/>
    <m/>
    <m/>
    <n v="397308"/>
    <s v=" "/>
    <s v=" "/>
    <s v=" "/>
    <e v="#VALUE!"/>
    <s v=" "/>
  </r>
  <r>
    <n v="50"/>
    <d v="2026-12-03T00:00:00"/>
    <s v="Proativo"/>
    <s v="Funil"/>
    <n v="0"/>
    <s v="Funil"/>
    <x v="0"/>
    <s v=" "/>
    <s v="BUG "/>
    <s v="OPORTUNIDADE | Liberar a visualização do campo &quot;Cadastro sincronizado SAP e Locavia&quot; para o Perfil Atendimento Livre"/>
    <n v="0"/>
    <n v="0"/>
    <n v="0"/>
    <m/>
    <m/>
    <n v="422745"/>
    <s v=" "/>
    <s v=" "/>
    <s v=" "/>
    <e v="#VALUE!"/>
    <s v=" "/>
  </r>
  <r>
    <n v="51"/>
    <d v="2026-05-01T00:00:00"/>
    <s v="Proativo"/>
    <s v="Funil"/>
    <n v="0"/>
    <s v="Funil"/>
    <x v="0"/>
    <n v="1"/>
    <s v="BUG "/>
    <s v="OPORTUNIDADE | Correção de Cancelamento de Crédito e Validação de Múltiplas Chamadas"/>
    <n v="0"/>
    <n v="0"/>
    <n v="0"/>
    <m/>
    <m/>
    <n v="385296"/>
    <n v="3"/>
    <n v="2"/>
    <n v="2"/>
    <n v="7"/>
    <n v="0"/>
  </r>
  <r>
    <n v="52"/>
    <s v="14/01/26"/>
    <s v="Proativo"/>
    <s v="Funil"/>
    <n v="0"/>
    <s v="Funil"/>
    <x v="0"/>
    <n v="1"/>
    <s v="Melhoria"/>
    <s v="LEAD | Desenvolver Padronização do Cadastro de Cidades Atendidas pela UNIDAS"/>
    <n v="0"/>
    <n v="0"/>
    <n v="0"/>
    <m/>
    <m/>
    <n v="387519"/>
    <n v="1"/>
    <n v="1"/>
    <n v="1"/>
    <n v="3"/>
    <n v="17"/>
  </r>
  <r>
    <n v="53"/>
    <d v="2026-10-02T00:00:00"/>
    <s v="Proativo"/>
    <s v="Funil"/>
    <n v="0"/>
    <s v="Funil"/>
    <x v="0"/>
    <s v=" "/>
    <s v="Melhoria"/>
    <s v="OPORTUNIDADE | Atualização e inclusão de motivos no campo “Motivo Fechado Perdido”"/>
    <n v="0"/>
    <n v="0"/>
    <n v="0"/>
    <m/>
    <m/>
    <n v="394897"/>
    <s v=" "/>
    <s v=" "/>
    <s v=" "/>
    <e v="#VALUE!"/>
    <s v=" "/>
  </r>
  <r>
    <n v="54"/>
    <d v="2026-04-02T00:00:00"/>
    <s v="Daniela Mochon"/>
    <s v="Comercial"/>
    <n v="0"/>
    <s v="Funil"/>
    <x v="0"/>
    <n v="2"/>
    <s v="Melhoria"/>
    <s v="RENOVAÇÃO | Desenvolver Integração de Pedidos de Renovação com Locavia"/>
    <n v="0"/>
    <n v="0"/>
    <n v="0"/>
    <m/>
    <m/>
    <n v="393032"/>
    <n v="3"/>
    <n v="3"/>
    <n v="3"/>
    <n v="9"/>
    <n v="2"/>
  </r>
  <r>
    <n v="55"/>
    <d v="2025-12-11T00:00:00"/>
    <s v="Daniela Mochon"/>
    <s v="Comercial"/>
    <n v="0"/>
    <s v="Funil"/>
    <x v="0"/>
    <n v="1"/>
    <s v="Melhoria"/>
    <s v="OPORTUNIDADE | Fluxo de Renovação de Contratos (Atualização do Campo Categoria Contrato)"/>
    <n v="0"/>
    <n v="0"/>
    <n v="0"/>
    <m/>
    <m/>
    <n v="369258"/>
    <n v="3"/>
    <n v="2"/>
    <n v="2"/>
    <n v="7"/>
    <n v="0"/>
  </r>
  <r>
    <n v="56"/>
    <s v="28/01/26"/>
    <s v="Daniela Mochon"/>
    <s v="Comercial"/>
    <n v="0"/>
    <s v="Funil"/>
    <x v="0"/>
    <n v="1"/>
    <s v="Melhoria"/>
    <s v="OPORTUNIDADE | Desenvolver correção do preenchimento do campo IRIS_ValorKmRodado__c nas Oportunidades"/>
    <n v="0"/>
    <n v="0"/>
    <n v="0"/>
    <m/>
    <m/>
    <n v="391124"/>
    <n v="1"/>
    <n v="1"/>
    <n v="1"/>
    <n v="3"/>
    <n v="20"/>
  </r>
  <r>
    <n v="57"/>
    <s v="13/01/26"/>
    <s v="Pedro Henrique"/>
    <s v="Comercial"/>
    <s v="C2601-8878"/>
    <s v="Funil"/>
    <x v="0"/>
    <n v="1"/>
    <s v="Melhoria"/>
    <s v="OPORTUNIDADE | Liberação de edição do campo “Número do Contrato Master – Origem"/>
    <n v="0"/>
    <n v="0"/>
    <n v="0"/>
    <m/>
    <m/>
    <n v="387018"/>
    <n v="1"/>
    <n v="1"/>
    <n v="1"/>
    <n v="3"/>
    <n v="20"/>
  </r>
  <r>
    <n v="58"/>
    <s v="13/02/26"/>
    <s v="Pedro Henrique"/>
    <s v="Comercial"/>
    <n v="0"/>
    <s v="Funil"/>
    <x v="0"/>
    <n v="3"/>
    <s v="Melhoria"/>
    <s v="USER| Desenvolver liberação de edição de Oportunidades para IRIS_Gestor_Comercial_Livre"/>
    <n v="0"/>
    <n v="0"/>
    <n v="0"/>
    <m/>
    <m/>
    <n v="395870"/>
    <n v="3"/>
    <n v="3"/>
    <n v="3"/>
    <n v="9"/>
    <n v="4"/>
  </r>
  <r>
    <n v="59"/>
    <s v="30/04/26"/>
    <s v="Daniela Mochon"/>
    <s v="Comercial"/>
    <s v="C2604-33584"/>
    <s v="Funil"/>
    <x v="0"/>
    <n v="3"/>
    <s v="BUG "/>
    <s v="OPORTUNIDADE | Desenvolver correção de atualização de SubFase em Oportunidade de Renovação"/>
    <n v="0"/>
    <n v="0"/>
    <n v="0"/>
    <m/>
    <m/>
    <n v="639777"/>
    <n v="3"/>
    <n v="3"/>
    <n v="3"/>
    <n v="9"/>
    <n v="4"/>
  </r>
  <r>
    <n v="60"/>
    <s v="14/01/26"/>
    <s v="Proativo"/>
    <s v="Funil"/>
    <n v="0"/>
    <s v="Funil"/>
    <x v="0"/>
    <n v="1"/>
    <s v="Melhoria"/>
    <s v="LEAD | Desenvolver Padronização do Cadastro de Cidades Atendidas pela UNIDAS"/>
    <n v="0"/>
    <n v="0"/>
    <n v="0"/>
    <m/>
    <m/>
    <n v="387519"/>
    <n v="1"/>
    <n v="1"/>
    <n v="1"/>
    <n v="3"/>
    <n v="17"/>
  </r>
  <r>
    <n v="61"/>
    <d v="2026-11-02T00:00:00"/>
    <s v="Daniela Mochon"/>
    <s v="Comercial"/>
    <n v="0"/>
    <s v="Funil"/>
    <x v="0"/>
    <s v=" "/>
    <s v="Melhoria"/>
    <s v="LEAD | Desenvolvimento de Correção Nº2 de Cadastro de Cidades via Integração"/>
    <n v="0"/>
    <n v="0"/>
    <n v="0"/>
    <m/>
    <m/>
    <n v="395197"/>
    <s v=" "/>
    <s v=" "/>
    <s v=" "/>
    <e v="#VALUE!"/>
    <s v=" "/>
  </r>
  <r>
    <n v="62"/>
    <d v="2026-05-01T00:00:00"/>
    <s v="Monique Evelin"/>
    <s v="Crédito"/>
    <n v="0"/>
    <s v="Funil"/>
    <x v="0"/>
    <n v="1"/>
    <s v="BUG "/>
    <s v="OPORTUNIDADE | Correção de Cancelamento de Crédito e Validação de Múltiplas Chamadas"/>
    <n v="0"/>
    <n v="0"/>
    <n v="0"/>
    <m/>
    <m/>
    <n v="385296"/>
    <n v="3"/>
    <n v="2"/>
    <n v="2"/>
    <n v="7"/>
    <n v="0"/>
  </r>
  <r>
    <n v="63"/>
    <d v="2026-04-02T00:00:00"/>
    <s v="Daniela Mochon"/>
    <s v="Comercial"/>
    <n v="0"/>
    <s v="Funil"/>
    <x v="0"/>
    <s v=" "/>
    <s v="Melhoria"/>
    <s v="REPORT | Desenvolver Alteração no Botão de Relatório (Cotação Master) - Mário Sturlini"/>
    <n v="0"/>
    <n v="0"/>
    <n v="0"/>
    <m/>
    <m/>
    <n v="393206"/>
    <s v=" "/>
    <s v=" "/>
    <s v=" "/>
    <e v="#VALUE!"/>
    <s v=" "/>
  </r>
  <r>
    <n v="64"/>
    <s v="13/01/26"/>
    <s v="Daniela Mochon"/>
    <s v="Comercial"/>
    <n v="0"/>
    <s v="Funil"/>
    <x v="0"/>
    <n v="1"/>
    <s v="Melhoria"/>
    <s v="OPORTUNIDADE | Correção da Data/Hora de Assinatura"/>
    <n v="0"/>
    <n v="0"/>
    <n v="0"/>
    <m/>
    <m/>
    <n v="387296"/>
    <n v="1"/>
    <n v="1"/>
    <n v="1"/>
    <n v="3"/>
    <n v="22"/>
  </r>
  <r>
    <n v="65"/>
    <d v="2026-01-05T14:28:22"/>
    <s v="Daniela Mochon"/>
    <s v="Comercial"/>
    <n v="0"/>
    <s v="Funil"/>
    <x v="0"/>
    <n v="1"/>
    <s v="Melhoria"/>
    <s v="OPORTUNIDADE | Correção de Cancelamento de Crédito e Validação de Múltiplas Chamadas"/>
    <n v="0"/>
    <n v="0"/>
    <n v="0"/>
    <m/>
    <m/>
    <n v="385296"/>
    <n v="3"/>
    <n v="2"/>
    <n v="2"/>
    <n v="7"/>
    <n v="0"/>
  </r>
  <r>
    <n v="66"/>
    <d v="2026-01-05T14:48:29"/>
    <s v="Daniela Mochon"/>
    <s v="Comercial"/>
    <n v="0"/>
    <s v="Funil"/>
    <x v="0"/>
    <n v="3"/>
    <s v="Melhoria"/>
    <s v="OPORTUNIDADE em QA | Correção de Dados da Oportunidade em Criação com Troca de Titularidade"/>
    <n v="0"/>
    <n v="0"/>
    <n v="0"/>
    <m/>
    <m/>
    <n v="385303"/>
    <n v="3"/>
    <n v="2"/>
    <n v="2"/>
    <n v="7"/>
    <n v="10"/>
  </r>
  <r>
    <n v="67"/>
    <d v="2026-01-05T17:32:07"/>
    <s v="Daniela Mochon"/>
    <s v="Comercial"/>
    <n v="0"/>
    <s v="Funil"/>
    <x v="0"/>
    <n v="3"/>
    <s v="Melhoria"/>
    <s v="CONTRATO | Desenvolver na Integração para Ignorar Contrato Provisório no Preenchimento da Oportunidade"/>
    <n v="0"/>
    <n v="0"/>
    <n v="0"/>
    <m/>
    <m/>
    <n v="385378"/>
    <n v="3"/>
    <n v="2"/>
    <n v="2"/>
    <n v="7"/>
    <n v="10"/>
  </r>
  <r>
    <n v="68"/>
    <d v="2026-01-13T09:47:16"/>
    <s v="Daniela Mochon"/>
    <s v="Comercial"/>
    <n v="0"/>
    <s v="Funil"/>
    <x v="0"/>
    <n v="1"/>
    <s v="Melhoria"/>
    <s v="OPORTUNIDADE | Liberação de edição do campo “Número do Contrato Master – Origem"/>
    <n v="0"/>
    <n v="0"/>
    <n v="0"/>
    <m/>
    <m/>
    <n v="387018"/>
    <n v="1"/>
    <n v="1"/>
    <n v="1"/>
    <n v="3"/>
    <n v="20"/>
  </r>
  <r>
    <n v="69"/>
    <d v="2026-01-13T17:42:12"/>
    <s v="Daniela Mochon"/>
    <s v="Comercial"/>
    <n v="0"/>
    <s v="Funil"/>
    <x v="0"/>
    <n v="1"/>
    <s v="Melhoria"/>
    <s v="OPORTUNIDADE | Correção da Data/Hora de Assinatura"/>
    <n v="0"/>
    <n v="0"/>
    <n v="0"/>
    <m/>
    <m/>
    <n v="387296"/>
    <n v="1"/>
    <n v="1"/>
    <n v="1"/>
    <n v="3"/>
    <n v="22"/>
  </r>
  <r>
    <n v="70"/>
    <d v="2026-01-14T12:14:40"/>
    <s v="Daniela Mochon"/>
    <s v="Comercial"/>
    <n v="0"/>
    <s v="Funil"/>
    <x v="0"/>
    <n v="1"/>
    <s v="Melhoria"/>
    <s v="QUOTE | Desenvolver Correção do Envio de Emplacamento no Pedido de Compra (GWM – SP)"/>
    <n v="0"/>
    <n v="0"/>
    <n v="0"/>
    <m/>
    <m/>
    <n v="387417"/>
    <n v="1"/>
    <n v="1"/>
    <n v="1"/>
    <n v="3"/>
    <n v="21"/>
  </r>
  <r>
    <n v="71"/>
    <d v="2026-01-14T16:21:38"/>
    <s v="Daniela Mochon"/>
    <s v="Comercial"/>
    <n v="0"/>
    <s v="Funil"/>
    <x v="0"/>
    <n v="1"/>
    <s v="Melhoria"/>
    <s v="LEAD | Desenvolver Padronização do Cadastro de Cidades Atendidas pela UNIDAS"/>
    <n v="0"/>
    <n v="0"/>
    <n v="0"/>
    <m/>
    <m/>
    <n v="387519"/>
    <n v="1"/>
    <n v="1"/>
    <n v="1"/>
    <n v="3"/>
    <n v="17"/>
  </r>
  <r>
    <n v="72"/>
    <d v="2026-01-14T16:55:53"/>
    <s v="Daniela Mochon"/>
    <s v="Comercial"/>
    <n v="0"/>
    <s v="Funil"/>
    <x v="0"/>
    <n v="1"/>
    <s v="Melhoria"/>
    <s v="ASSET | Ano do Produto Desatualizado"/>
    <n v="0"/>
    <n v="0"/>
    <n v="0"/>
    <m/>
    <m/>
    <n v="387569"/>
    <n v="1"/>
    <n v="1"/>
    <n v="1"/>
    <n v="3"/>
    <n v="21"/>
  </r>
  <r>
    <n v="73"/>
    <d v="2026-01-19T08:46:12"/>
    <s v="Daniela Mochon"/>
    <s v="Comercial"/>
    <n v="0"/>
    <s v="Funil"/>
    <x v="0"/>
    <n v="1"/>
    <s v="Melhoria"/>
    <s v="CONTRATO | Desativação da ValidationRule de Assinatura do Contrato"/>
    <n v="0"/>
    <n v="0"/>
    <n v="0"/>
    <m/>
    <m/>
    <n v="388456"/>
    <n v="2"/>
    <n v="1"/>
    <n v="2"/>
    <n v="5"/>
    <n v="13"/>
  </r>
  <r>
    <n v="74"/>
    <d v="2026-01-20T20:43:29"/>
    <s v="Daniela Mochon"/>
    <s v="Comercial"/>
    <n v="0"/>
    <s v="Funil"/>
    <x v="0"/>
    <n v="3"/>
    <s v="Melhoria"/>
    <s v="LEAD | Desenvolver  Fluxo de Consulta com Pré-Score"/>
    <n v="0"/>
    <n v="0"/>
    <n v="0"/>
    <m/>
    <m/>
    <n v="389140"/>
    <n v="3"/>
    <n v="3"/>
    <n v="3"/>
    <n v="9"/>
    <n v="5"/>
  </r>
  <r>
    <n v="75"/>
    <d v="2026-01-28T17:21:21"/>
    <s v="Daniela Mochon"/>
    <s v="Comercial"/>
    <n v="0"/>
    <s v="Funil"/>
    <x v="0"/>
    <n v="1"/>
    <s v="Melhoria"/>
    <s v="OPORTUNIDADE | Desenvolver correção do preenchimento do campo IRIS_ValorKmRodado__c nas Oportunidades"/>
    <n v="0"/>
    <n v="0"/>
    <n v="0"/>
    <m/>
    <m/>
    <n v="391124"/>
    <n v="1"/>
    <n v="1"/>
    <n v="1"/>
    <n v="3"/>
    <n v="20"/>
  </r>
  <r>
    <n v="76"/>
    <d v="2026-02-04T13:47:15"/>
    <s v="Daniela Mochon"/>
    <s v="Comercial"/>
    <n v="0"/>
    <s v="Funil"/>
    <x v="0"/>
    <n v="2"/>
    <s v="Melhoria"/>
    <s v="RENOVAÇÃO | Desenvolver Integração de Pedidos de Renovação com Locavia"/>
    <n v="0"/>
    <n v="0"/>
    <n v="0"/>
    <m/>
    <m/>
    <n v="393032"/>
    <n v="3"/>
    <n v="3"/>
    <n v="3"/>
    <n v="9"/>
    <n v="2"/>
  </r>
  <r>
    <n v="77"/>
    <d v="2026-02-10T14:09:43"/>
    <s v="Daniela Mochon"/>
    <s v="Comercial"/>
    <n v="0"/>
    <s v="Funil"/>
    <x v="0"/>
    <s v=" "/>
    <s v="Melhoria"/>
    <s v="OPORTUNIDADE | Atualização e inclusão de motivos no campo “Motivo Fechado Perdido”"/>
    <n v="0"/>
    <n v="0"/>
    <n v="0"/>
    <m/>
    <m/>
    <n v="394897"/>
    <s v=" "/>
    <s v=" "/>
    <s v=" "/>
    <e v="#VALUE!"/>
    <s v=" "/>
  </r>
  <r>
    <n v="78"/>
    <d v="2026-02-11T10:19:12"/>
    <s v="Daniela Mochon"/>
    <s v="Comercial"/>
    <n v="0"/>
    <s v="Funil"/>
    <x v="0"/>
    <s v=" "/>
    <s v="Melhoria"/>
    <s v="LEAD | Desenvolvimento de Correção Nº2 de Cadastro de Cidades via Integração"/>
    <n v="0"/>
    <n v="0"/>
    <n v="0"/>
    <m/>
    <m/>
    <n v="395197"/>
    <s v=" "/>
    <s v=" "/>
    <s v=" "/>
    <e v="#VALUE!"/>
    <s v=" "/>
  </r>
  <r>
    <n v="79"/>
    <d v="2026-02-11T10:21:56"/>
    <s v="Daniela Mochon"/>
    <s v="Comercial"/>
    <n v="0"/>
    <s v="Funil"/>
    <x v="0"/>
    <s v=" "/>
    <s v="Melhoria"/>
    <s v="PRODUTO | Voltar Flow e da UF de Emplacamento"/>
    <n v="0"/>
    <n v="0"/>
    <n v="0"/>
    <m/>
    <m/>
    <n v="395200"/>
    <s v=" "/>
    <s v=" "/>
    <s v=" "/>
    <e v="#VALUE!"/>
    <s v=" "/>
  </r>
  <r>
    <n v="80"/>
    <d v="2026-02-13T15:47:59"/>
    <s v="Daniela Mochon"/>
    <s v="Comercial"/>
    <n v="0"/>
    <s v="Funil"/>
    <x v="0"/>
    <n v="3"/>
    <s v="Melhoria"/>
    <s v="USER| Desenvolver liberação de edição de Oportunidades para IRIS_Gestor_Comercial_Livre"/>
    <n v="0"/>
    <n v="0"/>
    <n v="0"/>
    <m/>
    <m/>
    <n v="395870"/>
    <n v="3"/>
    <n v="3"/>
    <n v="3"/>
    <n v="9"/>
    <n v="4"/>
  </r>
  <r>
    <n v="81"/>
    <d v="2026-02-23T14:27:44"/>
    <s v="Daniela Mochon"/>
    <s v="Comercial"/>
    <n v="0"/>
    <s v="Funil"/>
    <x v="0"/>
    <s v=" "/>
    <s v="Melhoria"/>
    <s v="ACCOUNT | Desenvolver bloqueio na trigger quando o tipo de registro da Conta for Empresa"/>
    <n v="0"/>
    <n v="0"/>
    <n v="0"/>
    <m/>
    <m/>
    <n v="397308"/>
    <s v=" "/>
    <s v=" "/>
    <s v=" "/>
    <e v="#VALUE!"/>
    <s v=" "/>
  </r>
  <r>
    <n v="82"/>
    <d v="2026-02-23T17:19:21"/>
    <s v="Daniela Mochon"/>
    <s v="Comercial"/>
    <n v="0"/>
    <s v="Funil"/>
    <x v="0"/>
    <s v=" "/>
    <s v="Melhoria"/>
    <s v="OPORTUNIDADE | Desenvolver correção Motivo de Perda (Fechado Perdido)"/>
    <n v="0"/>
    <n v="0"/>
    <n v="0"/>
    <m/>
    <m/>
    <n v="397404"/>
    <s v=" "/>
    <s v=" "/>
    <s v=" "/>
    <e v="#VALUE!"/>
    <s v=" "/>
  </r>
  <r>
    <n v="83"/>
    <d v="2026-02-24T09:41:23"/>
    <s v="Daniela Mochon"/>
    <s v="Comercial"/>
    <n v="0"/>
    <s v="Funil"/>
    <x v="0"/>
    <n v="1"/>
    <s v="Melhoria"/>
    <s v="PRODUTO | Criação do campo “Migração AX” em Product2 e Asset com visibilidade controlada"/>
    <n v="0"/>
    <n v="0"/>
    <n v="0"/>
    <m/>
    <m/>
    <n v="397510"/>
    <n v="3"/>
    <n v="2"/>
    <n v="2"/>
    <n v="7"/>
    <n v="0"/>
  </r>
  <r>
    <n v="84"/>
    <d v="2026-02-26T16:10:02"/>
    <s v="Daniela Mochon"/>
    <s v="Comercial"/>
    <n v="0"/>
    <s v="Funil"/>
    <x v="0"/>
    <n v="1"/>
    <s v="Melhoria"/>
    <s v="OPORTUNIDADE - Desenvolver correção de mudança indevida do status da Oportunidade"/>
    <n v="0"/>
    <n v="0"/>
    <n v="0"/>
    <m/>
    <m/>
    <n v="398780"/>
    <n v="3"/>
    <n v="2"/>
    <n v="2"/>
    <n v="7"/>
    <n v="0"/>
  </r>
  <r>
    <n v="85"/>
    <d v="2026-03-04T16:12:15"/>
    <s v="Daniela Mochon"/>
    <s v="Comercial"/>
    <n v="0"/>
    <s v="Funil"/>
    <x v="0"/>
    <s v=" "/>
    <s v="Melhoria"/>
    <s v="OPORTUNIDADE | Desenvolver obrigatoriedade do Campo Subfase"/>
    <n v="0"/>
    <n v="0"/>
    <n v="0"/>
    <m/>
    <m/>
    <n v="409101"/>
    <s v=" "/>
    <s v=" "/>
    <s v=" "/>
    <e v="#VALUE!"/>
    <s v=" "/>
  </r>
  <r>
    <n v="86"/>
    <d v="2026-03-11T18:28:52"/>
    <s v="Daniela Mochon"/>
    <s v="Comercial"/>
    <n v="0"/>
    <s v="Funil"/>
    <x v="0"/>
    <n v="1"/>
    <s v="Melhoria"/>
    <s v="CONTA | Alterar Nome do Cliente após Subida de Nova Proposta"/>
    <n v="0"/>
    <n v="0"/>
    <n v="0"/>
    <m/>
    <m/>
    <n v="419044"/>
    <n v="1"/>
    <n v="1"/>
    <n v="1"/>
    <n v="3"/>
    <n v="20"/>
  </r>
  <r>
    <n v="87"/>
    <d v="2026-03-12T13:51:46"/>
    <s v="Daniela Mochon"/>
    <s v="Comercial"/>
    <n v="0"/>
    <s v="Funil"/>
    <x v="0"/>
    <s v=" "/>
    <s v="Melhoria"/>
    <s v="OPORTUNIDADE | Liberar a visualização do campo &quot;Cadastro sincronizado SAP e Locavia&quot; para o Perfil Atendimento Livre"/>
    <n v="0"/>
    <n v="0"/>
    <n v="0"/>
    <m/>
    <m/>
    <n v="422745"/>
    <s v=" "/>
    <s v=" "/>
    <s v=" "/>
    <e v="#VALUE!"/>
    <s v=" "/>
  </r>
  <r>
    <n v="88"/>
    <d v="2026-03-12T19:07:53"/>
    <s v="Daniela Mochon"/>
    <s v="Comercial"/>
    <n v="0"/>
    <s v="Funil"/>
    <x v="0"/>
    <n v="1"/>
    <s v="Melhoria"/>
    <s v="CONTRATO | Desenvolver JOB para que apenas 5 tipos de contratos gerem a Renovação"/>
    <n v="0"/>
    <n v="0"/>
    <n v="0"/>
    <m/>
    <m/>
    <n v="428396"/>
    <n v="1"/>
    <n v="1"/>
    <n v="1"/>
    <n v="3"/>
    <n v="19"/>
  </r>
  <r>
    <n v="89"/>
    <d v="2026-03-13T10:30:00"/>
    <s v="Daniela Mochon"/>
    <s v="Comercial"/>
    <n v="0"/>
    <s v="Funil"/>
    <x v="0"/>
    <n v="3"/>
    <s v="Melhoria"/>
    <s v="LEAD | Investigar falha na conversão automática de Lead"/>
    <n v="0"/>
    <n v="0"/>
    <n v="0"/>
    <m/>
    <m/>
    <n v="434664"/>
    <n v="3"/>
    <n v="2"/>
    <n v="2"/>
    <n v="7"/>
    <n v="10"/>
  </r>
  <r>
    <n v="90"/>
    <d v="2026-03-18T14:46:58"/>
    <s v="Daniela Mochon"/>
    <s v="Comercial"/>
    <n v="0"/>
    <s v="Funil"/>
    <x v="0"/>
    <n v="3"/>
    <s v="Melhoria"/>
    <s v="CONTRATO | Integração com Plataforma de Crédito &quot;Tipo de Contrato&quot;"/>
    <n v="0"/>
    <n v="0"/>
    <n v="0"/>
    <m/>
    <m/>
    <n v="457607"/>
    <n v="3"/>
    <n v="2"/>
    <n v="2"/>
    <n v="7"/>
    <n v="10"/>
  </r>
  <r>
    <n v="91"/>
    <d v="2026-02-07T21:55:27"/>
    <s v="Daniela Mochon"/>
    <s v="Comercial"/>
    <n v="0"/>
    <s v="Funil"/>
    <x v="0"/>
    <n v="3"/>
    <s v="Melhoria"/>
    <s v="OPORTUNIDADE | Desenvolvimento de Subfases para oportunidades de Renovação"/>
    <n v="0"/>
    <n v="0"/>
    <n v="0"/>
    <m/>
    <m/>
    <n v="394012"/>
    <n v="3"/>
    <n v="3"/>
    <n v="3"/>
    <n v="9"/>
    <n v="4"/>
  </r>
  <r>
    <n v="92"/>
    <d v="2026-02-07T22:43:30"/>
    <s v="Daniela Mochon"/>
    <s v="Comercial"/>
    <n v="0"/>
    <s v="Funil"/>
    <x v="0"/>
    <n v="1"/>
    <s v="Melhoria"/>
    <s v="CONTRATO | Desenvolver remoção da trava de Cadastro SF x Assinatura"/>
    <n v="0"/>
    <n v="0"/>
    <n v="0"/>
    <m/>
    <m/>
    <n v="394013"/>
    <n v="2"/>
    <n v="1"/>
    <n v="2"/>
    <n v="5"/>
    <n v="13"/>
  </r>
  <r>
    <n v="93"/>
    <d v="2026-03-23T14:27:24"/>
    <s v="Daniela Mochon"/>
    <s v="Comercial"/>
    <n v="0"/>
    <s v="Funil"/>
    <x v="0"/>
    <n v="1"/>
    <s v="Melhoria"/>
    <s v="OPORTUNIDADE | Tratar descrição de LOG para Pedido de Compra"/>
    <n v="0"/>
    <n v="0"/>
    <n v="0"/>
    <m/>
    <m/>
    <n v="484927"/>
    <n v="1"/>
    <n v="1"/>
    <n v="1"/>
    <n v="3"/>
    <n v="21"/>
  </r>
  <r>
    <n v="94"/>
    <d v="2026-04-06T15:47:23"/>
    <s v="Daniela Mochon"/>
    <s v="Comercial"/>
    <n v="0"/>
    <s v="Funil"/>
    <x v="0"/>
    <s v=" "/>
    <s v="Melhoria"/>
    <s v="LEAD | Melhoria no processo de Consulta SERASA + Log"/>
    <n v="0"/>
    <n v="0"/>
    <n v="0"/>
    <m/>
    <m/>
    <n v="534334"/>
    <s v=" "/>
    <s v=" "/>
    <s v=" "/>
    <e v="#VALUE!"/>
    <s v=" "/>
  </r>
  <r>
    <n v="95"/>
    <d v="2026-04-08T13:01:41"/>
    <s v="Daniela Mochon"/>
    <s v="Comercial"/>
    <n v="0"/>
    <s v="Funil"/>
    <x v="0"/>
    <n v="1"/>
    <s v="Melhoria"/>
    <s v="CONTA | Desenvolver Alteração Nome do Cliente após Subida de Nova Proposta"/>
    <n v="0"/>
    <n v="0"/>
    <n v="0"/>
    <m/>
    <m/>
    <n v="539549"/>
    <n v="2"/>
    <n v="1"/>
    <n v="2"/>
    <n v="5"/>
    <n v="12"/>
  </r>
  <r>
    <n v="96"/>
    <d v="2026-03-11T14:12:54"/>
    <s v="Daniela Mochon"/>
    <s v="Comercial"/>
    <n v="0"/>
    <s v="Funil"/>
    <x v="0"/>
    <n v="2"/>
    <s v="Melhoria"/>
    <s v="OPORTUNIDADE | Remover perfis do bloqueio de edição de campos na Oportunidade."/>
    <n v="0"/>
    <n v="0"/>
    <n v="0"/>
    <m/>
    <m/>
    <n v="417288"/>
    <n v="3"/>
    <n v="3"/>
    <n v="3"/>
    <n v="9"/>
    <n v="2"/>
  </r>
  <r>
    <n v="97"/>
    <d v="2026-01-21T11:19:30"/>
    <s v="Daniela Mochon"/>
    <s v="Comercial"/>
    <n v="0"/>
    <s v="Funil"/>
    <x v="0"/>
    <n v="2"/>
    <s v="Melhoria"/>
    <s v="CONTRATO | Tornar FirstName não obrigatório na criação de Contrato"/>
    <n v="0"/>
    <n v="0"/>
    <n v="0"/>
    <m/>
    <m/>
    <n v="389294"/>
    <n v="3"/>
    <n v="3"/>
    <n v="3"/>
    <n v="9"/>
    <n v="2"/>
  </r>
  <r>
    <n v="98"/>
    <d v="2026-01-14T15:50:10"/>
    <s v="Daniela Mochon"/>
    <s v="Comercial"/>
    <n v="0"/>
    <s v="Funil"/>
    <x v="0"/>
    <n v="1"/>
    <s v="Melhoria"/>
    <s v="OPORTUNIDADE | Desenvolver Exibição do Ano/Modelo na Oportunidade"/>
    <n v="0"/>
    <n v="0"/>
    <n v="0"/>
    <m/>
    <m/>
    <n v="387493"/>
    <n v="1"/>
    <n v="1"/>
    <n v="1"/>
    <n v="3"/>
    <n v="20"/>
  </r>
  <r>
    <n v="99"/>
    <d v="2026-01-16T13:55:19"/>
    <s v="Daniela Mochon"/>
    <s v="Comercial"/>
    <n v="0"/>
    <s v="Funil"/>
    <x v="0"/>
    <n v="3"/>
    <s v="Melhoria"/>
    <s v="LEAD | Desenvolver Reencaminhamento de Leads “Lost” para SDR com Validação por Cidade"/>
    <n v="0"/>
    <n v="0"/>
    <n v="0"/>
    <m/>
    <m/>
    <n v="388244"/>
    <n v="3"/>
    <n v="3"/>
    <n v="3"/>
    <n v="9"/>
    <n v="5"/>
  </r>
  <r>
    <n v="100"/>
    <d v="2026-01-16T14:41:10"/>
    <s v="Daniela Mochon"/>
    <s v="Comercial"/>
    <n v="0"/>
    <s v="Funil"/>
    <x v="0"/>
    <n v="2"/>
    <s v="Melhoria"/>
    <s v="LEAD | Desenvolvimento de Correção de Cadastro de Cidades via Integração"/>
    <n v="0"/>
    <n v="0"/>
    <n v="0"/>
    <m/>
    <m/>
    <n v="388271"/>
    <n v="3"/>
    <n v="3"/>
    <n v="3"/>
    <n v="9"/>
    <n v="2"/>
  </r>
  <r>
    <n v="101"/>
    <d v="2026-01-16T14:41:54"/>
    <s v="Daniela Mochon"/>
    <s v="Comercial"/>
    <n v="0"/>
    <s v="Funil"/>
    <x v="0"/>
    <n v="1"/>
    <s v="Melhoria"/>
    <s v="PRODUTO | Desenvolver Ajuste de Acionamento do Flow e Análise de Atualização da UF de Emplacamento"/>
    <n v="0"/>
    <n v="0"/>
    <n v="0"/>
    <m/>
    <m/>
    <n v="388272"/>
    <n v="2"/>
    <n v="1"/>
    <n v="2"/>
    <n v="5"/>
    <n v="13"/>
  </r>
  <r>
    <n v="102"/>
    <d v="2026-01-27T11:25:53"/>
    <s v="Mário Sturlini"/>
    <s v="Comercial"/>
    <n v="0"/>
    <s v="Funil"/>
    <x v="0"/>
    <n v="1"/>
    <s v="Melhoria"/>
    <s v="REPORT | Desenvolver Alteração no Botão de Relatório - Mário Sturlini"/>
    <n v="0"/>
    <n v="0"/>
    <n v="0"/>
    <m/>
    <m/>
    <n v="390676"/>
    <n v="2"/>
    <n v="1"/>
    <n v="2"/>
    <n v="5"/>
    <n v="12"/>
  </r>
  <r>
    <n v="103"/>
    <d v="2026-02-04T15:35:30"/>
    <s v="Mário Sturlini"/>
    <s v="Comercial"/>
    <n v="0"/>
    <s v="Funil"/>
    <x v="0"/>
    <s v=" "/>
    <s v="Melhoria"/>
    <s v="REPORT | Desenvolver Alteração no Botão de Relatório (Cotação Master) - Mário Sturlini"/>
    <n v="0"/>
    <n v="0"/>
    <n v="0"/>
    <m/>
    <m/>
    <n v="393206"/>
    <s v=" "/>
    <s v=" "/>
    <s v=" "/>
    <e v="#VALUE!"/>
    <s v=" "/>
  </r>
  <r>
    <n v="104"/>
    <d v="2026-02-05T10:27:44"/>
    <s v="Daniela Mochon"/>
    <s v="Comercial"/>
    <n v="0"/>
    <s v="Funil"/>
    <x v="0"/>
    <n v="1"/>
    <s v="Melhoria"/>
    <s v="OPORTUNIDADE | Regressão de estágio da Oportunidade"/>
    <n v="0"/>
    <n v="0"/>
    <n v="0"/>
    <m/>
    <m/>
    <n v="393411"/>
    <n v="2"/>
    <n v="1"/>
    <n v="2"/>
    <n v="5"/>
    <n v="13"/>
  </r>
  <r>
    <n v="105"/>
    <d v="2026-05-06T00:00:00"/>
    <s v="Daniela Mochon"/>
    <s v="Comercial"/>
    <n v="0"/>
    <s v="Funil"/>
    <x v="0"/>
    <n v="2"/>
    <s v="Melhoria"/>
    <s v="OPORTUNIDADE | Desenvolver atualização do campo de Desconto via Integração​"/>
    <n v="0"/>
    <n v="0"/>
    <s v="P"/>
    <m/>
    <m/>
    <n v="640903"/>
    <n v="3"/>
    <n v="3"/>
    <n v="3"/>
    <n v="9"/>
    <n v="2"/>
  </r>
  <r>
    <n v="106"/>
    <d v="2026-05-04T00:00:00"/>
    <s v="Cibele"/>
    <s v="Comercial"/>
    <n v="0"/>
    <s v="Funil"/>
    <x v="3"/>
    <s v=" "/>
    <s v="Melhoria"/>
    <s v="PERFIL | &quot;Atendimento Livre&quot; precisa enxergar &quot;Nome_do_Vendedor__c&quot;"/>
    <n v="0"/>
    <n v="0"/>
    <n v="0"/>
    <m/>
    <m/>
    <n v="640188"/>
    <s v=" "/>
    <s v=" "/>
    <s v=" "/>
    <e v="#VALUE!"/>
    <n v="16"/>
  </r>
  <r>
    <n v="107"/>
    <d v="2026-05-11T00:00:00"/>
    <s v="Pedro Henrique"/>
    <s v="Comercial"/>
    <s v="C2605-8422"/>
    <s v="Funil"/>
    <x v="0"/>
    <n v="1"/>
    <s v="BUG "/>
    <s v="OPORTUNIDADE | Desenvolver correção para Renovação Automática"/>
    <n v="0"/>
    <n v="0"/>
    <n v="0"/>
    <m/>
    <m/>
    <s v="-"/>
    <n v="1"/>
    <n v="2"/>
    <n v="2"/>
    <n v="5"/>
    <s v="-"/>
  </r>
  <r>
    <n v="108"/>
    <d v="2026-05-12T00:00:00"/>
    <s v="Daniela Mochon"/>
    <s v="Comercial"/>
    <n v="0"/>
    <s v="Funil"/>
    <x v="0"/>
    <n v="2"/>
    <s v="Melhoria"/>
    <s v="CASO | Desenvolver na regra de criação de CASO de  não-renovação"/>
    <n v="0"/>
    <n v="0"/>
    <n v="0"/>
    <m/>
    <m/>
    <n v="642989"/>
    <n v="3"/>
    <n v="3"/>
    <n v="3"/>
    <n v="9"/>
    <n v="2"/>
  </r>
  <r>
    <n v="109"/>
    <d v="2026-05-13T00:00:00"/>
    <s v="Proativo"/>
    <s v="Comercial"/>
    <m/>
    <s v="Funil"/>
    <x v="0"/>
    <n v="0"/>
    <s v="BUG "/>
    <s v="OPORTUNIDADE | Desenvolver correção para BUG pós Deploy em Renovação Automática"/>
    <n v="0"/>
    <n v="0"/>
    <s v="P"/>
    <b v="0"/>
    <b v="0"/>
    <n v="645061"/>
    <n v="2"/>
    <n v="2"/>
    <n v="2"/>
    <n v="6"/>
    <m/>
  </r>
  <r>
    <n v="110"/>
    <d v="2026-05-15T00:00:00"/>
    <s v="Daniela Mochon"/>
    <s v="Comercial"/>
    <m/>
    <s v="Funil"/>
    <x v="3"/>
    <n v="0"/>
    <s v="Melhoria"/>
    <s v="Ajustar o job de renovação para 90 ao invés de 120 dias"/>
    <n v="0"/>
    <n v="0"/>
    <s v="P"/>
    <b v="0"/>
    <b v="0"/>
    <n v="0"/>
    <n v="0"/>
    <n v="0"/>
    <n v="0"/>
    <n v="0"/>
    <n v="10"/>
  </r>
  <r>
    <n v="111"/>
    <d v="2026-05-20T00:00:00"/>
    <s v="Daniela Mochon"/>
    <s v="Comercial"/>
    <m/>
    <s v="Funil"/>
    <x v="0"/>
    <n v="0"/>
    <s v="Melhoria"/>
    <s v=" OPORTUNIDADE | Complemento de Distribuição de Leads – Inserir ID e NOME do Gestor da Oportunidade"/>
    <n v="0"/>
    <n v="0"/>
    <n v="0"/>
    <b v="0"/>
    <b v="0"/>
    <n v="656857"/>
    <n v="1"/>
    <n v="2"/>
    <n v="1"/>
    <n v="4"/>
    <s v="-"/>
  </r>
  <r>
    <n v="112"/>
    <d v="2026-05-21T00:00:00"/>
    <s v="Proativo"/>
    <s v="Funil"/>
    <m/>
    <s v="Funil"/>
    <x v="0"/>
    <n v="0"/>
    <s v="BUG "/>
    <s v="OPORTUNIDADE | Desenvolver correção do disparo da Distribuição de Lead"/>
    <n v="0"/>
    <n v="0"/>
    <s v="P"/>
    <b v="0"/>
    <b v="0"/>
    <n v="657117"/>
    <n v="1"/>
    <n v="1"/>
    <n v="1"/>
    <n v="3"/>
    <n v="1"/>
  </r>
  <r>
    <n v="113"/>
    <d v="2026-05-21T00:00:00"/>
    <s v="Daniela Mochon"/>
    <s v="Comercial"/>
    <m/>
    <s v="Funil"/>
    <x v="0"/>
    <n v="0"/>
    <s v="Melhoria"/>
    <s v="LEAD | Desenvolver Opção de &quot;Renovação&quot; na picklist do LeadSource"/>
    <n v="0"/>
    <s v="Fora do Escopo SPRINT 04"/>
    <s v="P"/>
    <b v="0"/>
    <b v="0"/>
    <n v="657177"/>
    <n v="1"/>
    <n v="1"/>
    <n v="1"/>
    <n v="3"/>
    <n v="1"/>
  </r>
  <r>
    <n v="114"/>
    <d v="2026-05-22T00:00:00"/>
    <s v="Daniela Mochon"/>
    <s v="Comercial"/>
    <m/>
    <s v="Funil"/>
    <x v="0"/>
    <n v="0"/>
    <s v="Melhoria"/>
    <s v="OPORTUNIDADE | Desenvolver cópia do nome do Owner para o Campo &quot;Nome do Vendedor&quot;"/>
    <n v="0"/>
    <n v="0"/>
    <s v="P"/>
    <b v="0"/>
    <b v="0"/>
    <n v="657521"/>
    <n v="1"/>
    <n v="1"/>
    <n v="1"/>
    <n v="3"/>
    <n v="1"/>
  </r>
  <r>
    <n v="115"/>
    <d v="2026-05-25T00:00:00"/>
    <s v="Daniela Mochon"/>
    <s v="Comercial"/>
    <m/>
    <s v="Funil"/>
    <x v="0"/>
    <n v="0"/>
    <s v="BUG "/>
    <s v="LEAD | Desenvolver correção para LeadSource Nulo"/>
    <n v="0"/>
    <s v="Fora do Escopo SPRINT 04"/>
    <s v="P"/>
    <b v="0"/>
    <b v="0"/>
    <n v="658406"/>
    <n v="1"/>
    <n v="1"/>
    <n v="1"/>
    <n v="3"/>
    <n v="1"/>
  </r>
  <r>
    <n v="116"/>
    <d v="2026-05-28T00:00:00"/>
    <s v="Daniela Mochon"/>
    <s v="Comercial"/>
    <m/>
    <s v="Funil"/>
    <x v="0"/>
    <n v="0"/>
    <s v="Melhoria"/>
    <s v="OPORTUNIDADE | Desenvolver novo balanceamento de Distribuição de Leads"/>
    <n v="0"/>
    <s v="Fora do Escopo SPRINT 04"/>
    <n v="0"/>
    <b v="0"/>
    <b v="0"/>
    <n v="659617"/>
    <n v="1"/>
    <n v="1"/>
    <n v="1"/>
    <n v="3"/>
    <n v="1"/>
  </r>
  <r>
    <n v="117"/>
    <d v="2026-05-28T00:00:00"/>
    <s v="Proativo"/>
    <s v="Funil"/>
    <m/>
    <s v="Funil"/>
    <x v="0"/>
    <n v="0"/>
    <s v="BUG "/>
    <s v="OPORTUNIDADE | Desenvolver Status da Análise de Crédito em Branco em Cenários de Renovação"/>
    <n v="0"/>
    <n v="0"/>
    <s v="P"/>
    <b v="0"/>
    <b v="0"/>
    <n v="659679"/>
    <n v="1"/>
    <n v="1"/>
    <n v="1"/>
    <n v="3"/>
    <n v="2"/>
  </r>
  <r>
    <n v="118"/>
    <d v="2026-05-28T00:00:00"/>
    <s v="Daniela Mochon"/>
    <s v="Comercial"/>
    <m/>
    <s v="Funil"/>
    <x v="2"/>
    <n v="0"/>
    <s v="Melhoria"/>
    <s v="CONTRATO | Criar campos de controle para integração de retorno de assinatura contrato (Authentique)"/>
    <n v="0"/>
    <s v="Fora do Escopo SPRINT 04"/>
    <s v="G"/>
    <b v="0"/>
    <b v="0"/>
    <n v="660405"/>
    <n v="1"/>
    <n v="1"/>
    <n v="1"/>
    <n v="3"/>
    <n v="1"/>
  </r>
  <r>
    <n v="119"/>
    <d v="2026-06-01T00:00:00"/>
    <s v="Daniela Mochon"/>
    <s v="Comercial"/>
    <m/>
    <s v="Funil"/>
    <x v="2"/>
    <n v="0"/>
    <s v="Melhoria"/>
    <s v="OPORTUNIDADE | Desenvolver Batch para aumentar frequência de geração de Pedido de Compra"/>
    <n v="0"/>
    <n v="0"/>
    <s v="P"/>
    <b v="0"/>
    <b v="0"/>
    <n v="660361"/>
    <n v="0"/>
    <n v="0"/>
    <n v="0"/>
    <n v="0"/>
    <n v="2"/>
  </r>
  <r>
    <n v="120"/>
    <d v="2026-06-01T00:00:00"/>
    <s v="Daniela Mochon"/>
    <s v="Comercial"/>
    <m/>
    <s v="Funil"/>
    <x v="3"/>
    <n v="0"/>
    <s v="Melhoria"/>
    <s v="OPORTUNIDADE | Desatrelamento Automático de Vendedor"/>
    <n v="0"/>
    <n v="0"/>
    <n v="0"/>
    <b v="0"/>
    <b v="0"/>
    <n v="661063"/>
    <n v="0"/>
    <n v="0"/>
    <n v="0"/>
    <n v="0"/>
    <n v="2"/>
  </r>
  <r>
    <n v="121"/>
    <d v="2026-06-01T00:00:00"/>
    <s v="Daniela Mochon"/>
    <s v="Comercial"/>
    <m/>
    <s v="Atlas"/>
    <x v="3"/>
    <n v="0"/>
    <s v="BUG"/>
    <s v="BUG | Nas trocas ou alterações de vendedor, apenas o ID é atualizado e as outras informações ficam incorretas"/>
    <n v="0"/>
    <n v="0"/>
    <n v="0"/>
    <b v="0"/>
    <b v="0"/>
    <s v="-"/>
    <n v="0"/>
    <n v="0"/>
    <n v="0"/>
    <n v="0"/>
    <n v="2"/>
  </r>
  <r>
    <n v="122"/>
    <d v="2026-04-09T00:00:00"/>
    <s v="Daniela Mochon"/>
    <s v="Comercial"/>
    <m/>
    <s v="Funil"/>
    <x v="0"/>
    <n v="0"/>
    <s v="BUG"/>
    <s v="OPORTUNIDADE | Desenvolver correção para atualização do motivo do pedido de compra em cenários de renovação"/>
    <n v="0"/>
    <n v="0"/>
    <n v="0"/>
    <b v="0"/>
    <b v="0"/>
    <n v="543229"/>
    <n v="3"/>
    <n v="2"/>
    <n v="2"/>
    <n v="7"/>
    <n v="2"/>
  </r>
  <r>
    <n v="123"/>
    <d v="2026-06-01T00:00:00"/>
    <s v="Proativo"/>
    <s v="Funil"/>
    <m/>
    <s v="Funil"/>
    <x v="5"/>
    <n v="0"/>
    <s v="BUG"/>
    <s v="LEAD | Desenvolver melhoria no processamento do Job IRIS_BatchCalloutsAndUpdateOwner"/>
    <n v="0"/>
    <n v="0"/>
    <n v="0"/>
    <b v="0"/>
    <b v="0"/>
    <n v="663594"/>
    <n v="0"/>
    <n v="0"/>
    <n v="0"/>
    <n v="0"/>
    <n v="0"/>
  </r>
  <r>
    <n v="124"/>
    <d v="2026-06-01T00:00:00"/>
    <s v="Helen Cristina"/>
    <s v="FLEET"/>
    <m/>
    <s v="Funil"/>
    <x v="0"/>
    <n v="0"/>
    <s v="BUG "/>
    <s v="ASSET | Desenvolver Tratamento de Nome de Produto para Criação de Asset"/>
    <n v="0"/>
    <n v="0"/>
    <n v="0"/>
    <b v="0"/>
    <b v="0"/>
    <n v="663652"/>
    <n v="1"/>
    <n v="1"/>
    <n v="1"/>
    <n v="3"/>
    <n v="0"/>
  </r>
  <r>
    <n v="125"/>
    <d v="2026-06-02T00:00:00"/>
    <s v="Proativo"/>
    <s v="Funil"/>
    <m/>
    <s v="Funil"/>
    <x v="2"/>
    <n v="0"/>
    <s v="BUG "/>
    <s v="OPORTUNIDADE | Desenvolver correção de envio para Análise de Crédito"/>
    <n v="0"/>
    <n v="0"/>
    <n v="0"/>
    <b v="0"/>
    <b v="0"/>
    <n v="666964"/>
    <n v="0"/>
    <n v="0"/>
    <n v="0"/>
    <n v="0"/>
    <n v="0"/>
  </r>
  <r>
    <n v="126"/>
    <d v="2026-06-01T00:00:00"/>
    <s v="Daniela Mochon"/>
    <s v="Comercial"/>
    <m/>
    <s v="Funil"/>
    <x v="5"/>
    <n v="0"/>
    <s v="BUG "/>
    <s v="OPORTUNIDADE | Desenvolver importação de Campos do Lead para a Oportunidade"/>
    <n v="0"/>
    <n v="0"/>
    <n v="0"/>
    <b v="0"/>
    <b v="0"/>
    <n v="666988"/>
    <n v="0"/>
    <n v="0"/>
    <n v="0"/>
    <n v="0"/>
    <n v="0"/>
  </r>
  <r>
    <n v="127"/>
    <d v="2026-06-09T00:00:00"/>
    <s v="Daniela Mochon"/>
    <s v="Comercial"/>
    <m/>
    <s v="Funil"/>
    <x v="3"/>
    <n v="0"/>
    <s v="Melhoria"/>
    <s v="Adicionar vendedor à fila Nexi - IG00710VDD-0"/>
    <n v="0"/>
    <n v="0"/>
    <n v="0"/>
    <b v="0"/>
    <b v="0"/>
    <n v="0"/>
    <n v="0"/>
    <n v="0"/>
    <n v="0"/>
    <n v="0"/>
    <n v="1"/>
  </r>
  <r>
    <n v="128"/>
    <d v="2026-06-10T00:00:00"/>
    <s v="Proativo"/>
    <s v="Funil"/>
    <m/>
    <s v="Funil"/>
    <x v="2"/>
    <n v="0"/>
    <s v="BUG "/>
    <s v="OPORTUNIDADE | Correção do preenchimento do Valor do KM na criação de Oportunidades"/>
    <n v="0"/>
    <n v="0"/>
    <s v="P"/>
    <b v="0"/>
    <b v="0"/>
    <n v="669766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DFD47-C4D6-4B96-9069-10E6459094BC}" name="Tabela dinâmica1" cacheId="2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 chartFormat="7" rowHeaderCaption="Status">
  <location ref="A3:B11" firstHeaderRow="2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0"/>
        <item x="3"/>
        <item m="1" x="6"/>
        <item x="1"/>
        <item x="5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Quant." fld="0" subtotal="count" baseField="6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4FFB9-E55F-4536-93AF-1168B7581DD4}" name="Tabela1" displayName="Tabela1" ref="B2:V130" totalsRowShown="0" headerRowDxfId="63" dataDxfId="62" totalsRowDxfId="61" dataCellStyle="Normal 2">
  <autoFilter ref="B2:V130" xr:uid="{9DB4FFB9-E55F-4536-93AF-1168B7581DD4}"/>
  <tableColumns count="21">
    <tableColumn id="1" xr3:uid="{14C74A77-9289-4E04-9BCA-219B2AC51136}" name="ID" dataDxfId="59" totalsRowDxfId="60">
      <calculatedColumnFormula>'LIVRE Oficial'!A1</calculatedColumnFormula>
    </tableColumn>
    <tableColumn id="2" xr3:uid="{114769CA-E8CF-46BC-B5BD-7923E83F8EB0}" name="Data da Inserção" dataDxfId="57" totalsRowDxfId="58" dataCellStyle="Normal 2">
      <calculatedColumnFormula>'LIVRE Oficial'!B2</calculatedColumnFormula>
    </tableColumn>
    <tableColumn id="7" xr3:uid="{CCF80855-649A-40C8-8285-7540396D0E00}" name="Solicitante" dataDxfId="55" totalsRowDxfId="56" dataCellStyle="Normal 2">
      <calculatedColumnFormula>'LIVRE Oficial'!C2</calculatedColumnFormula>
    </tableColumn>
    <tableColumn id="15" xr3:uid="{4B3430B3-F5D1-4819-A6CC-06871A474530}" name="Área" dataDxfId="53" totalsRowDxfId="54" dataCellStyle="Normal 2">
      <calculatedColumnFormula>'LIVRE Oficial'!D2</calculatedColumnFormula>
    </tableColumn>
    <tableColumn id="4" xr3:uid="{BF32CFC9-E4FA-4502-956C-142DD1084A85}" name="Chamado" dataDxfId="51" totalsRowDxfId="52"/>
    <tableColumn id="8" xr3:uid="{AB79C93A-88C7-4E14-AB0C-680DD89C4644}" name="Squad" dataDxfId="49" totalsRowDxfId="50">
      <calculatedColumnFormula>'LIVRE Oficial'!I2</calculatedColumnFormula>
    </tableColumn>
    <tableColumn id="3" xr3:uid="{CD47EA20-7677-48C9-A0C3-FE5A272BD008}" name="Status" dataDxfId="47" totalsRowDxfId="48">
      <calculatedColumnFormula>'LIVRE Oficial'!F2</calculatedColumnFormula>
    </tableColumn>
    <tableColumn id="24" xr3:uid="{54052458-2782-4BBD-A705-6FB2DE7B9425}" name="Avaliação área de Negocio" dataDxfId="45" totalsRowDxfId="46" dataCellStyle="Normal 2">
      <calculatedColumnFormula>'LIVRE Oficial'!G2</calculatedColumnFormula>
    </tableColumn>
    <tableColumn id="22" xr3:uid="{F92A3917-C825-4047-945C-3D874D1A2632}" name="Classificação área" dataDxfId="43" totalsRowDxfId="44" dataCellStyle="Normal 2">
      <calculatedColumnFormula>'LIVRE Oficial'!H2</calculatedColumnFormula>
    </tableColumn>
    <tableColumn id="5" xr3:uid="{02FB0CAA-8A59-4987-9C94-B83B9F8B3798}" name="Resumo Melhoria" dataDxfId="41" totalsRowDxfId="42" dataCellStyle="Normal 2">
      <calculatedColumnFormula>'LIVRE Oficial'!L2</calculatedColumnFormula>
    </tableColumn>
    <tableColumn id="6" xr3:uid="{24B94ABD-55FA-4FF9-AB6A-A74B8308AFA2}" name="Descrição" dataDxfId="39" totalsRowDxfId="40" dataCellStyle="Normal 2">
      <calculatedColumnFormula>'LIVRE Oficial'!V2</calculatedColumnFormula>
    </tableColumn>
    <tableColumn id="19" xr3:uid="{7B417771-4DB2-4F47-8133-5AA24D9493B6}" name="OBS" dataDxfId="37" totalsRowDxfId="38" dataCellStyle="Normal 2">
      <calculatedColumnFormula>'LIVRE Oficial'!U2</calculatedColumnFormula>
    </tableColumn>
    <tableColumn id="18" xr3:uid="{D69978B7-B40F-4492-B47E-FB9A8C727613}" name="Tamanho" dataDxfId="35" totalsRowDxfId="36" dataCellStyle="Normal 2">
      <calculatedColumnFormula>'LIVRE Oficial'!M2</calculatedColumnFormula>
    </tableColumn>
    <tableColumn id="9" xr3:uid="{E6B11516-FFB3-42BE-B8A9-769AC4780236}" name="Comitê de TI" dataDxfId="33" totalsRowDxfId="34" dataCellStyle="Normal 2"/>
    <tableColumn id="10" xr3:uid="{ADDEBCD3-0279-4344-8FF6-F8B3CC86F0DA}" name="Squad On Going" dataDxfId="31" totalsRowDxfId="32" dataCellStyle="Normal 2"/>
    <tableColumn id="20" xr3:uid="{20431DF1-EE0E-4BAA-B149-304B92E07756}" name="Nº Azure" dataDxfId="29" totalsRowDxfId="30" dataCellStyle="Normal 2">
      <calculatedColumnFormula>'LIVRE Oficial'!J2</calculatedColumnFormula>
    </tableColumn>
    <tableColumn id="11" xr3:uid="{19986B64-4A65-4306-AC38-687A8B77887B}" name="Gravidade" dataDxfId="27" totalsRowDxfId="28" dataCellStyle="Normal 2">
      <calculatedColumnFormula>'LIVRE Oficial'!P2</calculatedColumnFormula>
    </tableColumn>
    <tableColumn id="12" xr3:uid="{6EA794EE-D315-4A54-BF4E-B4492995FD72}" name="Urgência" dataDxfId="25" totalsRowDxfId="26" dataCellStyle="Normal 2">
      <calculatedColumnFormula>'LIVRE Oficial'!Q2</calculatedColumnFormula>
    </tableColumn>
    <tableColumn id="13" xr3:uid="{E5C6E537-4190-4FCD-BFD4-118509AD1F06}" name="Tendência" dataDxfId="23" totalsRowDxfId="24" dataCellStyle="Normal 2">
      <calculatedColumnFormula>'LIVRE Oficial'!R2</calculatedColumnFormula>
    </tableColumn>
    <tableColumn id="14" xr3:uid="{28BAD59E-80C1-4A4D-A889-AC8CAD407E2B}" name="Resultado GUT" dataDxfId="21" totalsRowDxfId="22" dataCellStyle="Normal 2">
      <calculatedColumnFormula>'LIVRE Oficial'!S2</calculatedColumnFormula>
    </tableColumn>
    <tableColumn id="16" xr3:uid="{933CA1C7-D2BD-477E-966B-38C54623F61A}" name="Prioridade" dataDxfId="19" totalsRowDxfId="20" dataCellStyle="Normal 2">
      <calculatedColumnFormula>'LIVRE Oficial'!K2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" dT="2026-03-11T19:52:03.69" personId="{022A1A74-7690-4F86-8BB7-2FFDD7BEDB71}" id="{678A0F52-3C20-44A1-B687-8156F09C853B}">
    <text xml:space="preserve">Gravidade
1 - Sem gravidade
2 - Pouco grave
3 - Grave
4 - Muito grave
5 - Extremamente grave
</text>
  </threadedComment>
  <threadedComment ref="S2" dT="2026-03-11T19:53:50.45" personId="{022A1A74-7690-4F86-8BB7-2FFDD7BEDB71}" id="{7385AE18-F259-4947-89CD-3E75875C6643}">
    <text xml:space="preserve">1-Pode esperar
2-Pouco urgente
3-Urgente
4-Muito urgente
5-Ação imediata
</text>
  </threadedComment>
  <threadedComment ref="T2" dT="2026-03-11T19:54:07.48" personId="{022A1A74-7690-4F86-8BB7-2FFDD7BEDB71}" id="{764AD645-2D32-4F4E-BB37-C8DE0E80BEC0}">
    <text xml:space="preserve">1-Não irá mudar
2-Irá piorar a longo prazo
3-Irá piorar a médio prazo
4-Irá piorar a curto prazo
5-Irá piorar rapidamente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" dT="2026-03-11T19:52:03.69" personId="{022A1A74-7690-4F86-8BB7-2FFDD7BEDB71}" id="{67D59D6A-D36C-41C4-AFB4-8DFF6AE566AB}">
    <text xml:space="preserve">Gravidade
1 - Sem gravidade
2 - Pouco grave
3 - Grave
4 - Muito grave
5 - Extremamente grave
</text>
  </threadedComment>
  <threadedComment ref="Q1" dT="2026-03-11T19:53:50.45" personId="{022A1A74-7690-4F86-8BB7-2FFDD7BEDB71}" id="{89270D30-9ECD-4E45-B82A-92FF91DFEE0A}">
    <text xml:space="preserve">1-Pode esperar
2-Pouco urgente
3-Urgente
4-Muito urgente
5-Ação imediata
</text>
  </threadedComment>
  <threadedComment ref="R1" dT="2026-03-11T19:54:07.48" personId="{022A1A74-7690-4F86-8BB7-2FFDD7BEDB71}" id="{6203B1DD-D246-4358-8408-3D112F5BD735}">
    <text xml:space="preserve">1-Não irá mudar
2-Irá piorar a longo prazo
3-Irá piorar a médio prazo
4-Irá piorar a curto prazo
5-Irá piorar rapidamente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1" dT="2026-03-11T19:52:03.69" personId="{022A1A74-7690-4F86-8BB7-2FFDD7BEDB71}" id="{EEEC67D2-60E6-4577-A2BC-DAA99CCE184A}">
    <text xml:space="preserve">Gravidade
1 - Sem gravidade
2 - Pouco grave
3 - Grave
4 - Muito grave
5 - Extremamente grave
</text>
  </threadedComment>
  <threadedComment ref="Q1" dT="2026-03-11T19:53:50.45" personId="{022A1A74-7690-4F86-8BB7-2FFDD7BEDB71}" id="{3E0922B2-0F89-42F5-AD8C-EA94EC2EB827}">
    <text xml:space="preserve">1-Pode esperar
2-Pouco urgente
3-Urgente
4-Muito urgente
5-Ação imediata
</text>
  </threadedComment>
  <threadedComment ref="R1" dT="2026-03-11T19:54:07.48" personId="{022A1A74-7690-4F86-8BB7-2FFDD7BEDB71}" id="{FE7DEB1C-3821-4B37-8065-9C6A759345AC}">
    <text xml:space="preserve">1-Não irá mudar
2-Irá piorar a longo prazo
3-Irá piorar a médio prazo
4-Irá piorar a curto prazo
5-Irá piorar rapidamente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Q1" dT="2026-03-11T19:52:03.69" personId="{022A1A74-7690-4F86-8BB7-2FFDD7BEDB71}" id="{A90953B8-8062-4B40-A3BB-28FB50B4E443}">
    <text xml:space="preserve">Gravidade
1 - Sem gravidade
2 - Pouco grave
3 - Grave
4 - Muito grave
5 - Extremamente grave
</text>
  </threadedComment>
  <threadedComment ref="R1" dT="2026-03-11T19:53:50.45" personId="{022A1A74-7690-4F86-8BB7-2FFDD7BEDB71}" id="{724C9AB9-902E-4244-AD5E-19E93EB79457}">
    <text xml:space="preserve">1-Pode esperar
2-Pouco urgente
3-Urgente
4-Muito urgente
5-Ação imediata
</text>
  </threadedComment>
  <threadedComment ref="S1" dT="2026-03-11T19:54:07.48" personId="{022A1A74-7690-4F86-8BB7-2FFDD7BEDB71}" id="{C1A006AD-74BF-40F1-96B7-CA907486E509}">
    <text xml:space="preserve">1-Não irá mudar
2-Irá piorar a longo prazo
3-Irá piorar a médio prazo
4-Irá piorar a curto prazo
5-Irá piorar rapidamente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UnidasLocadoras/Projeto%20Funil%20de%20Vendas%20Ongoing/_workitems/edit/711788" TargetMode="External"/><Relationship Id="rId7" Type="http://schemas.microsoft.com/office/2017/10/relationships/threadedComment" Target="../threadedComments/threadedComment2.xml"/><Relationship Id="rId2" Type="http://schemas.openxmlformats.org/officeDocument/2006/relationships/hyperlink" Target="https://dev.azure.com/UnidasLocadoras/Projeto%20Funil%20de%20Vendas%20Ongoing/_workitems/edit/711716" TargetMode="External"/><Relationship Id="rId1" Type="http://schemas.openxmlformats.org/officeDocument/2006/relationships/hyperlink" Target="https://dev.azure.com/UnidasLocadoras/Projeto%20Funil%20de%20Vendas%20Ongoing/_workitems/edit/539599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hyperlink" Target="https://dev.azure.com/UnidasLocadoras/Projeto%20Funil%20de%20Vendas%20Ongoing/_workitems/edit/71209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BE20-D13E-4E9C-AD88-E44D4EEB58B0}">
  <sheetPr>
    <tabColor rgb="FFFFC000"/>
  </sheetPr>
  <dimension ref="A1:R22"/>
  <sheetViews>
    <sheetView zoomScale="85" zoomScaleNormal="85" workbookViewId="0">
      <selection activeCell="B7" sqref="B7"/>
    </sheetView>
  </sheetViews>
  <sheetFormatPr defaultRowHeight="14.45"/>
  <cols>
    <col min="1" max="1" width="19.42578125" bestFit="1" customWidth="1"/>
    <col min="2" max="2" width="5.5703125" bestFit="1" customWidth="1"/>
    <col min="3" max="4" width="5.140625" bestFit="1" customWidth="1"/>
  </cols>
  <sheetData>
    <row r="1" spans="1:18"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18">
      <c r="A3" s="12" t="s">
        <v>0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1:18">
      <c r="A4" s="12" t="s">
        <v>1</v>
      </c>
      <c r="B4" t="s">
        <v>2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>
      <c r="A5" t="s">
        <v>3</v>
      </c>
      <c r="B5">
        <v>6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</row>
    <row r="6" spans="1:18">
      <c r="A6" t="s">
        <v>4</v>
      </c>
      <c r="B6">
        <v>95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</row>
    <row r="7" spans="1:18">
      <c r="A7" t="s">
        <v>5</v>
      </c>
      <c r="B7">
        <v>21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1:18">
      <c r="A8" t="s">
        <v>6</v>
      </c>
      <c r="B8">
        <v>2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</row>
    <row r="9" spans="1:18">
      <c r="A9" t="s">
        <v>7</v>
      </c>
      <c r="B9">
        <v>3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</row>
    <row r="10" spans="1:18">
      <c r="A10" t="s">
        <v>8</v>
      </c>
      <c r="B10">
        <v>1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</row>
    <row r="11" spans="1:18">
      <c r="A11" t="s">
        <v>9</v>
      </c>
      <c r="B11">
        <v>128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</row>
    <row r="12" spans="1:18"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</row>
    <row r="13" spans="1:18"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</row>
    <row r="14" spans="1:18"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</row>
    <row r="15" spans="1:18"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</row>
    <row r="16" spans="1:18"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</row>
    <row r="17" spans="5:18"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</row>
    <row r="18" spans="5:18"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</row>
    <row r="19" spans="5:18"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</row>
    <row r="20" spans="5:18"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</row>
    <row r="21" spans="5:18"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</row>
    <row r="22" spans="5:18"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AFA3-9048-4015-BFCC-136F7A4FDE29}">
  <dimension ref="B1:W130"/>
  <sheetViews>
    <sheetView showGridLines="0" topLeftCell="J1" zoomScale="85" zoomScaleNormal="85" workbookViewId="0">
      <pane ySplit="1" topLeftCell="A22" activePane="bottomLeft" state="frozen"/>
      <selection pane="bottomLeft" activeCell="O29" sqref="O29"/>
      <selection activeCell="A3" sqref="A3"/>
    </sheetView>
  </sheetViews>
  <sheetFormatPr defaultColWidth="8.7109375" defaultRowHeight="15" customHeight="1"/>
  <cols>
    <col min="1" max="1" width="1.85546875" style="1" customWidth="1"/>
    <col min="2" max="2" width="6.42578125" style="1" customWidth="1"/>
    <col min="3" max="3" width="16.7109375" style="10" customWidth="1"/>
    <col min="4" max="4" width="31" style="1" bestFit="1" customWidth="1"/>
    <col min="5" max="5" width="21.28515625" style="1" customWidth="1"/>
    <col min="6" max="6" width="26.140625" style="1" customWidth="1"/>
    <col min="7" max="7" width="10.85546875" style="1" customWidth="1"/>
    <col min="8" max="8" width="31.42578125" style="1" customWidth="1"/>
    <col min="9" max="9" width="28.42578125" bestFit="1" customWidth="1"/>
    <col min="10" max="10" width="19.7109375" customWidth="1"/>
    <col min="11" max="11" width="114.5703125" style="63" bestFit="1" customWidth="1"/>
    <col min="12" max="12" width="57.5703125" style="63" hidden="1" customWidth="1"/>
    <col min="13" max="13" width="91.140625" style="1" hidden="1" customWidth="1"/>
    <col min="14" max="16" width="25.42578125" style="1" customWidth="1"/>
    <col min="17" max="17" width="14.5703125" style="1" bestFit="1" customWidth="1"/>
    <col min="18" max="18" width="16.5703125" style="1" bestFit="1" customWidth="1"/>
    <col min="19" max="19" width="16.5703125" style="1" customWidth="1"/>
    <col min="20" max="20" width="12.140625" style="3" bestFit="1" customWidth="1"/>
    <col min="21" max="21" width="11.140625" style="3" bestFit="1" customWidth="1"/>
    <col min="22" max="22" width="12.42578125" style="3" bestFit="1" customWidth="1"/>
    <col min="23" max="23" width="15" style="3" bestFit="1" customWidth="1"/>
    <col min="24" max="24" width="14" style="1" bestFit="1" customWidth="1"/>
    <col min="25" max="16384" width="8.7109375" style="1"/>
  </cols>
  <sheetData>
    <row r="1" spans="2:23" ht="14.45">
      <c r="B1" s="6"/>
      <c r="I1" s="1"/>
      <c r="J1" s="1"/>
      <c r="M1" s="8"/>
      <c r="N1" s="8" t="s">
        <v>10</v>
      </c>
      <c r="O1" s="8"/>
      <c r="P1" s="8"/>
      <c r="Q1" s="8"/>
      <c r="R1" s="123" t="s">
        <v>11</v>
      </c>
      <c r="S1" s="123"/>
      <c r="T1" s="123"/>
      <c r="U1" s="123"/>
      <c r="W1" s="1"/>
    </row>
    <row r="2" spans="2:23" ht="15.95">
      <c r="B2" s="5" t="s">
        <v>12</v>
      </c>
      <c r="C2" s="11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</v>
      </c>
      <c r="I2" s="5" t="s">
        <v>18</v>
      </c>
      <c r="J2" s="7" t="s">
        <v>19</v>
      </c>
      <c r="K2" s="64" t="s">
        <v>20</v>
      </c>
      <c r="L2" s="65" t="s">
        <v>21</v>
      </c>
      <c r="M2" s="7" t="s">
        <v>22</v>
      </c>
      <c r="N2" s="7" t="s">
        <v>23</v>
      </c>
      <c r="O2" s="2" t="s">
        <v>24</v>
      </c>
      <c r="P2" s="2" t="s">
        <v>25</v>
      </c>
      <c r="Q2" s="4" t="s">
        <v>26</v>
      </c>
      <c r="R2" s="4" t="s">
        <v>27</v>
      </c>
      <c r="S2" s="4" t="s">
        <v>28</v>
      </c>
      <c r="T2" s="4" t="s">
        <v>29</v>
      </c>
      <c r="U2" s="4" t="s">
        <v>30</v>
      </c>
      <c r="V2" s="4" t="s">
        <v>31</v>
      </c>
      <c r="W2" s="1"/>
    </row>
    <row r="3" spans="2:23" ht="15.95">
      <c r="B3" s="18" t="str">
        <f>'LIVRE Oficial'!A1</f>
        <v>ID</v>
      </c>
      <c r="C3" s="68">
        <f>'LIVRE Oficial'!B2</f>
        <v>45758</v>
      </c>
      <c r="D3" s="21" t="str">
        <f>'LIVRE Oficial'!C2</f>
        <v>Daniela Mochon</v>
      </c>
      <c r="E3" s="67" t="str">
        <f>'LIVRE Oficial'!D2</f>
        <v>Comercial</v>
      </c>
      <c r="F3" s="21">
        <f>'LIVRE Oficial'!E2</f>
        <v>0</v>
      </c>
      <c r="G3" s="21" t="str">
        <f>'LIVRE Oficial'!I2</f>
        <v>Funil</v>
      </c>
      <c r="H3" s="35" t="str">
        <f>'LIVRE Oficial'!F2</f>
        <v>Entregue</v>
      </c>
      <c r="I3" s="71">
        <f>'LIVRE Oficial'!G2</f>
        <v>3</v>
      </c>
      <c r="J3" s="21" t="str">
        <f>'LIVRE Oficial'!H2</f>
        <v>Melhoria</v>
      </c>
      <c r="K3" s="66" t="str">
        <f>'LIVRE Oficial'!L2</f>
        <v>LEAD | Distribuição Automática e Inteligente de Leads no Salesforce (Vendedores Internos)</v>
      </c>
      <c r="L3" s="29">
        <f>'LIVRE Oficial'!V2</f>
        <v>0</v>
      </c>
      <c r="M3" s="21">
        <f>'LIVRE Oficial'!U2</f>
        <v>0</v>
      </c>
      <c r="N3" s="21" t="str">
        <f>'LIVRE Oficial'!M2</f>
        <v>G</v>
      </c>
      <c r="O3" s="22" t="b">
        <f>'LIVRE Oficial'!N2</f>
        <v>0</v>
      </c>
      <c r="P3" s="22" t="b">
        <f>'LIVRE Oficial'!O2</f>
        <v>0</v>
      </c>
      <c r="Q3" s="20">
        <f>'LIVRE Oficial'!J2</f>
        <v>364684</v>
      </c>
      <c r="R3" s="73">
        <f>'LIVRE Oficial'!P2</f>
        <v>1</v>
      </c>
      <c r="S3" s="73">
        <f>'LIVRE Oficial'!Q2</f>
        <v>2</v>
      </c>
      <c r="T3" s="73">
        <f>'LIVRE Oficial'!R2</f>
        <v>3</v>
      </c>
      <c r="U3" s="73">
        <f>'LIVRE Oficial'!S2</f>
        <v>6</v>
      </c>
      <c r="V3" s="73">
        <f>'LIVRE Oficial'!K2</f>
        <v>1</v>
      </c>
      <c r="W3" s="1"/>
    </row>
    <row r="4" spans="2:23" ht="15.95">
      <c r="B4" s="18">
        <f>'LIVRE Oficial'!A2</f>
        <v>1</v>
      </c>
      <c r="C4" s="68">
        <f>'LIVRE Oficial'!B3</f>
        <v>46171</v>
      </c>
      <c r="D4" s="21" t="str">
        <f>'LIVRE Oficial'!C3</f>
        <v>Daniela Mochon</v>
      </c>
      <c r="E4" s="67" t="str">
        <f>'LIVRE Oficial'!D3</f>
        <v>Comercial</v>
      </c>
      <c r="F4" s="21">
        <f>'LIVRE Oficial'!E3</f>
        <v>0</v>
      </c>
      <c r="G4" s="21" t="str">
        <f>'LIVRE Oficial'!I3</f>
        <v>Funil</v>
      </c>
      <c r="H4" s="35" t="str">
        <f>'LIVRE Oficial'!F3</f>
        <v>Aguardando Refinamento de Negócio</v>
      </c>
      <c r="I4" s="71">
        <f>'LIVRE Oficial'!G3</f>
        <v>1</v>
      </c>
      <c r="J4" s="21" t="str">
        <f>'LIVRE Oficial'!H3</f>
        <v>Melhoria</v>
      </c>
      <c r="K4" s="66" t="str">
        <f>'LIVRE Oficial'!L3</f>
        <v>LEAD | Criação do campo “LeadPrincipalCPF”</v>
      </c>
      <c r="L4" s="29">
        <f>'LIVRE Oficial'!V3</f>
        <v>0</v>
      </c>
      <c r="M4" s="21">
        <f>'LIVRE Oficial'!U3</f>
        <v>0</v>
      </c>
      <c r="N4" s="21" t="str">
        <f>'LIVRE Oficial'!M3</f>
        <v>P</v>
      </c>
      <c r="O4" s="22">
        <f>'LIVRE Oficial'!N3</f>
        <v>0</v>
      </c>
      <c r="P4" s="22" t="b">
        <f>'LIVRE Oficial'!O3</f>
        <v>1</v>
      </c>
      <c r="Q4" s="20">
        <f>'LIVRE Oficial'!J3</f>
        <v>679614</v>
      </c>
      <c r="R4" s="73">
        <f>'LIVRE Oficial'!P3</f>
        <v>0</v>
      </c>
      <c r="S4" s="73">
        <f>'LIVRE Oficial'!Q3</f>
        <v>0</v>
      </c>
      <c r="T4" s="73">
        <f>'LIVRE Oficial'!R3</f>
        <v>0</v>
      </c>
      <c r="U4" s="73">
        <f>'LIVRE Oficial'!S3</f>
        <v>0</v>
      </c>
      <c r="V4" s="73">
        <f>'LIVRE Oficial'!K3</f>
        <v>4</v>
      </c>
      <c r="W4" s="1"/>
    </row>
    <row r="5" spans="2:23" ht="15.95">
      <c r="B5" s="18">
        <f>'LIVRE Oficial'!A3</f>
        <v>131</v>
      </c>
      <c r="C5" s="68">
        <f>'LIVRE Oficial'!B4</f>
        <v>46238</v>
      </c>
      <c r="D5" s="21" t="str">
        <f>'LIVRE Oficial'!C4</f>
        <v>Daniela Mochon</v>
      </c>
      <c r="E5" s="67" t="str">
        <f>'LIVRE Oficial'!D4</f>
        <v>Comercial</v>
      </c>
      <c r="F5" s="21">
        <f>'LIVRE Oficial'!E4</f>
        <v>0</v>
      </c>
      <c r="G5" s="21" t="str">
        <f>'LIVRE Oficial'!I4</f>
        <v>Funil</v>
      </c>
      <c r="H5" s="35" t="str">
        <f>'LIVRE Oficial'!F4</f>
        <v>Backlog</v>
      </c>
      <c r="I5" s="71">
        <f>'LIVRE Oficial'!G4</f>
        <v>3</v>
      </c>
      <c r="J5" s="21" t="str">
        <f>'LIVRE Oficial'!H4</f>
        <v>Melhoria</v>
      </c>
      <c r="K5" s="66" t="str">
        <f>'LIVRE Oficial'!L4</f>
        <v>CONTRATO | Atualizar automaticamente status e dados de contratos e pedidos via integração entre Salesforce e Locavia</v>
      </c>
      <c r="L5" s="29">
        <f>'LIVRE Oficial'!V4</f>
        <v>0</v>
      </c>
      <c r="M5" s="21">
        <f>'LIVRE Oficial'!U4</f>
        <v>0</v>
      </c>
      <c r="N5" s="21" t="str">
        <f>'LIVRE Oficial'!M4</f>
        <v>GG</v>
      </c>
      <c r="O5" s="22" t="b">
        <f>'LIVRE Oficial'!N4</f>
        <v>1</v>
      </c>
      <c r="P5" s="22">
        <f>'LIVRE Oficial'!O4</f>
        <v>0</v>
      </c>
      <c r="Q5" s="20">
        <f>'LIVRE Oficial'!J4</f>
        <v>539582</v>
      </c>
      <c r="R5" s="73">
        <f>'LIVRE Oficial'!P4</f>
        <v>3</v>
      </c>
      <c r="S5" s="73">
        <f>'LIVRE Oficial'!Q4</f>
        <v>2</v>
      </c>
      <c r="T5" s="73">
        <f>'LIVRE Oficial'!R4</f>
        <v>3</v>
      </c>
      <c r="U5" s="73">
        <f>'LIVRE Oficial'!S4</f>
        <v>8</v>
      </c>
      <c r="V5" s="73">
        <f>'LIVRE Oficial'!K4</f>
        <v>0</v>
      </c>
      <c r="W5" s="1"/>
    </row>
    <row r="6" spans="2:23" ht="15.95">
      <c r="B6" s="18">
        <f>'LIVRE Oficial'!A4</f>
        <v>27</v>
      </c>
      <c r="C6" s="68">
        <f>'LIVRE Oficial'!B5</f>
        <v>45754</v>
      </c>
      <c r="D6" s="21" t="str">
        <f>'LIVRE Oficial'!C5</f>
        <v>Daniela Mochon</v>
      </c>
      <c r="E6" s="67" t="str">
        <f>'LIVRE Oficial'!D5</f>
        <v>Comercial</v>
      </c>
      <c r="F6" s="21">
        <f>'LIVRE Oficial'!E5</f>
        <v>0</v>
      </c>
      <c r="G6" s="21" t="str">
        <f>'LIVRE Oficial'!I5</f>
        <v>Funil</v>
      </c>
      <c r="H6" s="35" t="str">
        <f>'LIVRE Oficial'!F5</f>
        <v>Entregue</v>
      </c>
      <c r="I6" s="71" t="str">
        <f>'LIVRE Oficial'!G5</f>
        <v> </v>
      </c>
      <c r="J6" s="21" t="str">
        <f>'LIVRE Oficial'!H5</f>
        <v>Melhoria</v>
      </c>
      <c r="K6" s="66" t="str">
        <f>'LIVRE Oficial'!L5</f>
        <v>ATLAS | Remover a limitação de 150 propostas na exibição com filtros de Status aplicados em "Minhas propostas"</v>
      </c>
      <c r="L6" s="29">
        <f>'LIVRE Oficial'!V5</f>
        <v>0</v>
      </c>
      <c r="M6" s="21">
        <f>'LIVRE Oficial'!U5</f>
        <v>0</v>
      </c>
      <c r="N6" s="21">
        <f>'LIVRE Oficial'!M5</f>
        <v>0</v>
      </c>
      <c r="O6" s="22"/>
      <c r="P6" s="22"/>
      <c r="Q6" s="20">
        <f>'LIVRE Oficial'!J5</f>
        <v>312387</v>
      </c>
      <c r="R6" s="73" t="str">
        <f>'LIVRE Oficial'!P5</f>
        <v> </v>
      </c>
      <c r="S6" s="73" t="str">
        <f>'LIVRE Oficial'!Q5</f>
        <v> </v>
      </c>
      <c r="T6" s="73" t="str">
        <f>'LIVRE Oficial'!R5</f>
        <v> </v>
      </c>
      <c r="U6" s="20" t="e">
        <f>'LIVRE Oficial'!S5</f>
        <v>#VALUE!</v>
      </c>
      <c r="V6" s="73" t="str">
        <f>'LIVRE Oficial'!K5</f>
        <v> </v>
      </c>
      <c r="W6" s="1"/>
    </row>
    <row r="7" spans="2:23" ht="15.95">
      <c r="B7" s="18">
        <f>'LIVRE Oficial'!A5</f>
        <v>4</v>
      </c>
      <c r="C7" s="68">
        <f>'LIVRE Oficial'!B6</f>
        <v>9609</v>
      </c>
      <c r="D7" s="21" t="str">
        <f>'LIVRE Oficial'!C6</f>
        <v>Daniela Mochon</v>
      </c>
      <c r="E7" s="67" t="str">
        <f>'LIVRE Oficial'!D6</f>
        <v>Comercial</v>
      </c>
      <c r="F7" s="21" t="str">
        <f>'LIVRE Oficial'!E6</f>
        <v>C2604-24461</v>
      </c>
      <c r="G7" s="21" t="str">
        <f>'LIVRE Oficial'!I6</f>
        <v>Funil</v>
      </c>
      <c r="H7" s="35" t="str">
        <f>'LIVRE Oficial'!F6</f>
        <v>Entregue</v>
      </c>
      <c r="I7" s="71">
        <f>'LIVRE Oficial'!G6</f>
        <v>1</v>
      </c>
      <c r="J7" s="21" t="str">
        <f>'LIVRE Oficial'!H6</f>
        <v>BUG</v>
      </c>
      <c r="K7" s="66" t="str">
        <f>'LIVRE Oficial'!L6</f>
        <v>CONTA | Permitir alteração manual do nome da Conta para registros criados de forma sistêmica</v>
      </c>
      <c r="L7" s="29">
        <f>'LIVRE Oficial'!V6</f>
        <v>0</v>
      </c>
      <c r="M7" s="21">
        <f>'LIVRE Oficial'!U6</f>
        <v>0</v>
      </c>
      <c r="N7" s="21">
        <f>'LIVRE Oficial'!M6</f>
        <v>0</v>
      </c>
      <c r="O7" s="22"/>
      <c r="P7" s="22"/>
      <c r="Q7" s="20">
        <f>'LIVRE Oficial'!J6</f>
        <v>593226</v>
      </c>
      <c r="R7" s="73">
        <f>'LIVRE Oficial'!P6</f>
        <v>1</v>
      </c>
      <c r="S7" s="73">
        <f>'LIVRE Oficial'!Q6</f>
        <v>3</v>
      </c>
      <c r="T7" s="73">
        <f>'LIVRE Oficial'!R6</f>
        <v>3</v>
      </c>
      <c r="U7" s="20">
        <f>'LIVRE Oficial'!S6</f>
        <v>7</v>
      </c>
      <c r="V7" s="73">
        <f>'LIVRE Oficial'!K6</f>
        <v>9</v>
      </c>
      <c r="W7" s="1"/>
    </row>
    <row r="8" spans="2:23" ht="15.95">
      <c r="B8" s="18">
        <f>'LIVRE Oficial'!A6</f>
        <v>5</v>
      </c>
      <c r="C8" s="68">
        <f>'LIVRE Oficial'!B7</f>
        <v>9454</v>
      </c>
      <c r="D8" s="21" t="str">
        <f>'LIVRE Oficial'!C7</f>
        <v>Daniela Mochon</v>
      </c>
      <c r="E8" s="67" t="str">
        <f>'LIVRE Oficial'!D7</f>
        <v>Comercial</v>
      </c>
      <c r="F8" s="21">
        <f>'LIVRE Oficial'!E7</f>
        <v>0</v>
      </c>
      <c r="G8" s="21" t="str">
        <f>'LIVRE Oficial'!I7</f>
        <v>Funil</v>
      </c>
      <c r="H8" s="35" t="str">
        <f>'LIVRE Oficial'!F7</f>
        <v>Entregue</v>
      </c>
      <c r="I8" s="71">
        <f>'LIVRE Oficial'!G7</f>
        <v>3</v>
      </c>
      <c r="J8" s="21" t="str">
        <f>'LIVRE Oficial'!H7</f>
        <v>Melhoria</v>
      </c>
      <c r="K8" s="66" t="str">
        <f>'LIVRE Oficial'!L7</f>
        <v>OPORTUNIDADE | Criação de Nova Oportunidade a partir de Fechamento da Op de Renovação</v>
      </c>
      <c r="L8" s="29">
        <f>'LIVRE Oficial'!V7</f>
        <v>0</v>
      </c>
      <c r="M8" s="21">
        <f>'LIVRE Oficial'!U7</f>
        <v>0</v>
      </c>
      <c r="N8" s="21">
        <f>'LIVRE Oficial'!M7</f>
        <v>0</v>
      </c>
      <c r="O8" s="22"/>
      <c r="P8" s="22"/>
      <c r="Q8" s="20">
        <f>'LIVRE Oficial'!J7</f>
        <v>371328</v>
      </c>
      <c r="R8" s="73">
        <f>'LIVRE Oficial'!P7</f>
        <v>3</v>
      </c>
      <c r="S8" s="73">
        <f>'LIVRE Oficial'!Q7</f>
        <v>3</v>
      </c>
      <c r="T8" s="73">
        <f>'LIVRE Oficial'!R7</f>
        <v>3</v>
      </c>
      <c r="U8" s="20">
        <f>'LIVRE Oficial'!S7</f>
        <v>9</v>
      </c>
      <c r="V8" s="73">
        <f>'LIVRE Oficial'!K7</f>
        <v>4</v>
      </c>
      <c r="W8" s="1"/>
    </row>
    <row r="9" spans="2:23" ht="15.95">
      <c r="B9" s="18">
        <f>'LIVRE Oficial'!A7</f>
        <v>6</v>
      </c>
      <c r="C9" s="68">
        <f>'LIVRE Oficial'!B8</f>
        <v>9616</v>
      </c>
      <c r="D9" s="21" t="str">
        <f>'LIVRE Oficial'!C8</f>
        <v>Pedro Henrique</v>
      </c>
      <c r="E9" s="67" t="str">
        <f>'LIVRE Oficial'!D8</f>
        <v>Comercial</v>
      </c>
      <c r="F9" s="21" t="str">
        <f>'LIVRE Oficial'!E8</f>
        <v>C2604-17343</v>
      </c>
      <c r="G9" s="21" t="str">
        <f>'LIVRE Oficial'!I8</f>
        <v>Funil</v>
      </c>
      <c r="H9" s="35" t="str">
        <f>'LIVRE Oficial'!F8</f>
        <v>Entregue</v>
      </c>
      <c r="I9" s="71">
        <f>'LIVRE Oficial'!G8</f>
        <v>1</v>
      </c>
      <c r="J9" s="21" t="str">
        <f>'LIVRE Oficial'!H8</f>
        <v>BUG</v>
      </c>
      <c r="K9" s="66" t="str">
        <f>'LIVRE Oficial'!L8</f>
        <v>OPORTUNIDADE | Desenvolver Correção do Status da Análise de Crédito</v>
      </c>
      <c r="L9" s="29">
        <f>'LIVRE Oficial'!V8</f>
        <v>0</v>
      </c>
      <c r="M9" s="21">
        <f>'LIVRE Oficial'!U8</f>
        <v>0</v>
      </c>
      <c r="N9" s="21">
        <f>'LIVRE Oficial'!M8</f>
        <v>0</v>
      </c>
      <c r="O9" s="22"/>
      <c r="P9" s="22"/>
      <c r="Q9" s="20">
        <f>'LIVRE Oficial'!J8</f>
        <v>625264</v>
      </c>
      <c r="R9" s="73">
        <f>'LIVRE Oficial'!P8</f>
        <v>2</v>
      </c>
      <c r="S9" s="73">
        <f>'LIVRE Oficial'!Q8</f>
        <v>1</v>
      </c>
      <c r="T9" s="73">
        <f>'LIVRE Oficial'!R8</f>
        <v>2</v>
      </c>
      <c r="U9" s="20">
        <f>'LIVRE Oficial'!S8</f>
        <v>5</v>
      </c>
      <c r="V9" s="73">
        <f>'LIVRE Oficial'!K8</f>
        <v>13</v>
      </c>
      <c r="W9" s="1"/>
    </row>
    <row r="10" spans="2:23" ht="15.95" customHeight="1">
      <c r="B10" s="18">
        <f>'LIVRE Oficial'!A8</f>
        <v>7</v>
      </c>
      <c r="C10" s="68">
        <f>'LIVRE Oficial'!B9</f>
        <v>9614</v>
      </c>
      <c r="D10" s="21" t="str">
        <f>'LIVRE Oficial'!C9</f>
        <v>Monique Evelin</v>
      </c>
      <c r="E10" s="67" t="str">
        <f>'LIVRE Oficial'!D9</f>
        <v>Crédito</v>
      </c>
      <c r="F10" s="21">
        <f>'LIVRE Oficial'!E9</f>
        <v>0</v>
      </c>
      <c r="G10" s="21" t="str">
        <f>'LIVRE Oficial'!I9</f>
        <v>Funil</v>
      </c>
      <c r="H10" s="69" t="str">
        <f>'LIVRE Oficial'!F9</f>
        <v>Entregue</v>
      </c>
      <c r="I10" s="71">
        <f>'LIVRE Oficial'!G9</f>
        <v>1</v>
      </c>
      <c r="J10" s="21" t="str">
        <f>'LIVRE Oficial'!H9</f>
        <v>Melhoria</v>
      </c>
      <c r="K10" s="66" t="str">
        <f>'LIVRE Oficial'!L9</f>
        <v>CONTA | Botão Manual para Consulta SERASA na Conta (Pessoa Física)</v>
      </c>
      <c r="L10" s="29">
        <f>'LIVRE Oficial'!V9</f>
        <v>0</v>
      </c>
      <c r="M10" s="21">
        <f>'LIVRE Oficial'!U9</f>
        <v>0</v>
      </c>
      <c r="N10" s="21" t="str">
        <f>'LIVRE Oficial'!M9</f>
        <v>M</v>
      </c>
      <c r="O10" s="22"/>
      <c r="P10" s="22"/>
      <c r="Q10" s="20">
        <f>'LIVRE Oficial'!J9</f>
        <v>625328</v>
      </c>
      <c r="R10" s="73">
        <f>'LIVRE Oficial'!P9</f>
        <v>1</v>
      </c>
      <c r="S10" s="73">
        <f>'LIVRE Oficial'!Q9</f>
        <v>1</v>
      </c>
      <c r="T10" s="73">
        <f>'LIVRE Oficial'!R9</f>
        <v>1</v>
      </c>
      <c r="U10" s="20">
        <f>'LIVRE Oficial'!S9</f>
        <v>3</v>
      </c>
      <c r="V10" s="73">
        <f>'LIVRE Oficial'!K9</f>
        <v>22</v>
      </c>
      <c r="W10" s="1"/>
    </row>
    <row r="11" spans="2:23" ht="15.95">
      <c r="B11" s="18">
        <f>'LIVRE Oficial'!A9</f>
        <v>8</v>
      </c>
      <c r="C11" s="68">
        <f>'LIVRE Oficial'!B10</f>
        <v>9551</v>
      </c>
      <c r="D11" s="21" t="str">
        <f>'LIVRE Oficial'!C10</f>
        <v>Daniela Mochon</v>
      </c>
      <c r="E11" s="67" t="str">
        <f>'LIVRE Oficial'!D10</f>
        <v>Comercial</v>
      </c>
      <c r="F11" s="21">
        <f>'LIVRE Oficial'!E10</f>
        <v>0</v>
      </c>
      <c r="G11" s="21" t="str">
        <f>'LIVRE Oficial'!I10</f>
        <v>Funil</v>
      </c>
      <c r="H11" s="35" t="str">
        <f>'LIVRE Oficial'!F10</f>
        <v>Entregue</v>
      </c>
      <c r="I11" s="71">
        <f>'LIVRE Oficial'!G10</f>
        <v>1</v>
      </c>
      <c r="J11" s="21" t="str">
        <f>'LIVRE Oficial'!H10</f>
        <v>Melhoria</v>
      </c>
      <c r="K11" s="66" t="str">
        <f>'LIVRE Oficial'!L10</f>
        <v>QUOTE | Desenvolver envio de Opcionais no Pedido de Compra para o Locavia</v>
      </c>
      <c r="L11" s="29">
        <f>'LIVRE Oficial'!V10</f>
        <v>0</v>
      </c>
      <c r="M11" s="21">
        <f>'LIVRE Oficial'!U10</f>
        <v>0</v>
      </c>
      <c r="N11" s="21" t="str">
        <f>'LIVRE Oficial'!M10</f>
        <v>M</v>
      </c>
      <c r="O11" s="22"/>
      <c r="P11" s="22"/>
      <c r="Q11" s="20">
        <f>'LIVRE Oficial'!J10</f>
        <v>397306</v>
      </c>
      <c r="R11" s="73">
        <f>'LIVRE Oficial'!P10</f>
        <v>2</v>
      </c>
      <c r="S11" s="73">
        <f>'LIVRE Oficial'!Q10</f>
        <v>2</v>
      </c>
      <c r="T11" s="73">
        <f>'LIVRE Oficial'!R10</f>
        <v>1</v>
      </c>
      <c r="U11" s="20">
        <f>'LIVRE Oficial'!S10</f>
        <v>5</v>
      </c>
      <c r="V11" s="73">
        <f>'LIVRE Oficial'!K10</f>
        <v>2</v>
      </c>
      <c r="W11" s="1"/>
    </row>
    <row r="12" spans="2:23" ht="15.95" customHeight="1">
      <c r="B12" s="18">
        <f>'LIVRE Oficial'!A10</f>
        <v>9</v>
      </c>
      <c r="C12" s="68">
        <f>'LIVRE Oficial'!B11</f>
        <v>46269</v>
      </c>
      <c r="D12" s="21" t="str">
        <f>'LIVRE Oficial'!C11</f>
        <v>Daniela Mochon</v>
      </c>
      <c r="E12" s="67" t="str">
        <f>'LIVRE Oficial'!D11</f>
        <v>Comercial</v>
      </c>
      <c r="F12" s="21">
        <f>'LIVRE Oficial'!E11</f>
        <v>0</v>
      </c>
      <c r="G12" s="21" t="str">
        <f>'LIVRE Oficial'!I11</f>
        <v>Funil</v>
      </c>
      <c r="H12" s="35" t="str">
        <f>'LIVRE Oficial'!F11</f>
        <v>Entregue</v>
      </c>
      <c r="I12" s="71">
        <f>'LIVRE Oficial'!G11</f>
        <v>1</v>
      </c>
      <c r="J12" s="21" t="str">
        <f>'LIVRE Oficial'!H11</f>
        <v>BUG</v>
      </c>
      <c r="K12" s="66" t="str">
        <f>'LIVRE Oficial'!L11</f>
        <v>OPORTUNIDADE | Desenvolver correção para atualização do motivo do pedido de compra em cenários de renovação</v>
      </c>
      <c r="L12" s="29">
        <f>'LIVRE Oficial'!V11</f>
        <v>0</v>
      </c>
      <c r="M12" s="21">
        <f>'LIVRE Oficial'!U11</f>
        <v>0</v>
      </c>
      <c r="N12" s="21" t="str">
        <f>'LIVRE Oficial'!M11</f>
        <v>P</v>
      </c>
      <c r="O12" s="22"/>
      <c r="P12" s="22"/>
      <c r="Q12" s="20">
        <f>'LIVRE Oficial'!J11</f>
        <v>543229</v>
      </c>
      <c r="R12" s="73">
        <f>'LIVRE Oficial'!P11</f>
        <v>1</v>
      </c>
      <c r="S12" s="73">
        <f>'LIVRE Oficial'!Q11</f>
        <v>1</v>
      </c>
      <c r="T12" s="73">
        <f>'LIVRE Oficial'!R11</f>
        <v>1</v>
      </c>
      <c r="U12" s="20">
        <f>'LIVRE Oficial'!S11</f>
        <v>3</v>
      </c>
      <c r="V12" s="73">
        <f>'LIVRE Oficial'!K11</f>
        <v>21</v>
      </c>
      <c r="W12" s="1"/>
    </row>
    <row r="13" spans="2:23" ht="15.95">
      <c r="B13" s="18">
        <f>'LIVRE Oficial'!A11</f>
        <v>10</v>
      </c>
      <c r="C13" s="68">
        <f>'LIVRE Oficial'!B12</f>
        <v>46269</v>
      </c>
      <c r="D13" s="21" t="str">
        <f>'LIVRE Oficial'!C12</f>
        <v>Daniela Mochon</v>
      </c>
      <c r="E13" s="67" t="str">
        <f>'LIVRE Oficial'!D12</f>
        <v>Comercial</v>
      </c>
      <c r="F13" s="21">
        <f>'LIVRE Oficial'!E12</f>
        <v>0</v>
      </c>
      <c r="G13" s="21" t="str">
        <f>'LIVRE Oficial'!I12</f>
        <v>Funil</v>
      </c>
      <c r="H13" s="35" t="str">
        <f>'LIVRE Oficial'!F12</f>
        <v>Entregue</v>
      </c>
      <c r="I13" s="71">
        <f>'LIVRE Oficial'!G12</f>
        <v>1</v>
      </c>
      <c r="J13" s="21" t="str">
        <f>'LIVRE Oficial'!H12</f>
        <v>Melhoria</v>
      </c>
      <c r="K13" s="66" t="str">
        <f>'LIVRE Oficial'!L12</f>
        <v>OPORTUNIDADE | Permitir geração de pedido de compra sem delay de 8 dias para casos de retenção de clientes</v>
      </c>
      <c r="L13" s="29">
        <f>'LIVRE Oficial'!V12</f>
        <v>0</v>
      </c>
      <c r="M13" s="21">
        <f>'LIVRE Oficial'!U12</f>
        <v>0</v>
      </c>
      <c r="N13" s="21" t="str">
        <f>'LIVRE Oficial'!M12</f>
        <v>M</v>
      </c>
      <c r="O13" s="22"/>
      <c r="P13" s="22"/>
      <c r="Q13" s="20">
        <f>'LIVRE Oficial'!J12</f>
        <v>543196</v>
      </c>
      <c r="R13" s="73">
        <f>'LIVRE Oficial'!P12</f>
        <v>2</v>
      </c>
      <c r="S13" s="73">
        <f>'LIVRE Oficial'!Q12</f>
        <v>2</v>
      </c>
      <c r="T13" s="73">
        <f>'LIVRE Oficial'!R12</f>
        <v>1</v>
      </c>
      <c r="U13" s="20">
        <f>'LIVRE Oficial'!S12</f>
        <v>5</v>
      </c>
      <c r="V13" s="73">
        <f>'LIVRE Oficial'!K12</f>
        <v>14</v>
      </c>
      <c r="W13" s="1"/>
    </row>
    <row r="14" spans="2:23" ht="15.95" customHeight="1">
      <c r="B14" s="18">
        <f>'LIVRE Oficial'!A12</f>
        <v>11</v>
      </c>
      <c r="C14" s="68">
        <f>'LIVRE Oficial'!B13</f>
        <v>46170</v>
      </c>
      <c r="D14" s="21" t="str">
        <f>'LIVRE Oficial'!C13</f>
        <v>Daniela Mochon</v>
      </c>
      <c r="E14" s="67" t="str">
        <f>'LIVRE Oficial'!D13</f>
        <v>Comercial</v>
      </c>
      <c r="F14" s="21">
        <f>'LIVRE Oficial'!E13</f>
        <v>0</v>
      </c>
      <c r="G14" s="21" t="str">
        <f>'LIVRE Oficial'!I13</f>
        <v>Funil</v>
      </c>
      <c r="H14" s="35" t="str">
        <f>'LIVRE Oficial'!F13</f>
        <v>Entregue</v>
      </c>
      <c r="I14" s="71">
        <f>'LIVRE Oficial'!G13</f>
        <v>0</v>
      </c>
      <c r="J14" s="21" t="str">
        <f>'LIVRE Oficial'!H13</f>
        <v>Melhoria</v>
      </c>
      <c r="K14" s="66" t="str">
        <f>'LIVRE Oficial'!L13</f>
        <v>CONTRATO | Criar campos de controle para integração de retorno de assinatura contrato (Authentique)</v>
      </c>
      <c r="L14" s="29">
        <f>'LIVRE Oficial'!V13</f>
        <v>0</v>
      </c>
      <c r="M14" s="21" t="str">
        <f>'LIVRE Oficial'!U13</f>
        <v>Fora do Escopo SPRINT 04</v>
      </c>
      <c r="N14" s="21" t="str">
        <f>'LIVRE Oficial'!M13</f>
        <v>G</v>
      </c>
      <c r="O14" s="22"/>
      <c r="P14" s="22"/>
      <c r="Q14" s="20">
        <f>'LIVRE Oficial'!J13</f>
        <v>660405</v>
      </c>
      <c r="R14" s="73">
        <f>'LIVRE Oficial'!P13</f>
        <v>1</v>
      </c>
      <c r="S14" s="73">
        <f>'LIVRE Oficial'!Q13</f>
        <v>1</v>
      </c>
      <c r="T14" s="73">
        <f>'LIVRE Oficial'!R13</f>
        <v>1</v>
      </c>
      <c r="U14" s="20">
        <f>'LIVRE Oficial'!S13</f>
        <v>3</v>
      </c>
      <c r="V14" s="73">
        <f>'LIVRE Oficial'!K13</f>
        <v>1</v>
      </c>
      <c r="W14" s="1"/>
    </row>
    <row r="15" spans="2:23" ht="15.95" customHeight="1">
      <c r="B15" s="18">
        <f>'LIVRE Oficial'!A13</f>
        <v>119</v>
      </c>
      <c r="C15" s="68">
        <f>'LIVRE Oficial'!B14</f>
        <v>9611</v>
      </c>
      <c r="D15" s="21" t="str">
        <f>'LIVRE Oficial'!C14</f>
        <v>Proativo</v>
      </c>
      <c r="E15" s="67" t="str">
        <f>'LIVRE Oficial'!D14</f>
        <v>Funil</v>
      </c>
      <c r="F15" s="21">
        <f>'LIVRE Oficial'!E14</f>
        <v>0</v>
      </c>
      <c r="G15" s="21" t="str">
        <f>'LIVRE Oficial'!I14</f>
        <v>Funil</v>
      </c>
      <c r="H15" s="35" t="str">
        <f>'LIVRE Oficial'!F14</f>
        <v>Entregue</v>
      </c>
      <c r="I15" s="71" t="str">
        <f>'LIVRE Oficial'!G14</f>
        <v> </v>
      </c>
      <c r="J15" s="21" t="str">
        <f>'LIVRE Oficial'!H14</f>
        <v>BUG</v>
      </c>
      <c r="K15" s="66" t="str">
        <f>'LIVRE Oficial'!L14</f>
        <v>ASSET - Stauts do Ativo Fleet aparecendo no Livre</v>
      </c>
      <c r="L15" s="29">
        <f>'LIVRE Oficial'!V14</f>
        <v>0</v>
      </c>
      <c r="M15" s="21">
        <f>'LIVRE Oficial'!U14</f>
        <v>0</v>
      </c>
      <c r="N15" s="21">
        <f>'LIVRE Oficial'!M14</f>
        <v>0</v>
      </c>
      <c r="O15" s="22"/>
      <c r="P15" s="22"/>
      <c r="Q15" s="20">
        <f>'LIVRE Oficial'!J14</f>
        <v>594558</v>
      </c>
      <c r="R15" s="73" t="str">
        <f>'LIVRE Oficial'!P14</f>
        <v> </v>
      </c>
      <c r="S15" s="73" t="str">
        <f>'LIVRE Oficial'!Q14</f>
        <v> </v>
      </c>
      <c r="T15" s="73" t="str">
        <f>'LIVRE Oficial'!R14</f>
        <v> </v>
      </c>
      <c r="U15" s="20" t="e">
        <f>'LIVRE Oficial'!S14</f>
        <v>#VALUE!</v>
      </c>
      <c r="V15" s="73" t="str">
        <f>'LIVRE Oficial'!K14</f>
        <v> </v>
      </c>
      <c r="W15" s="1"/>
    </row>
    <row r="16" spans="2:23" ht="15.95">
      <c r="B16" s="18">
        <f>'LIVRE Oficial'!A14</f>
        <v>13</v>
      </c>
      <c r="C16" s="68">
        <f>'LIVRE Oficial'!B15</f>
        <v>46223</v>
      </c>
      <c r="D16" s="21" t="str">
        <f>'LIVRE Oficial'!C15</f>
        <v>Jéssica Fachina</v>
      </c>
      <c r="E16" s="67" t="str">
        <f>'LIVRE Oficial'!D15</f>
        <v>Funil Crédito</v>
      </c>
      <c r="F16" s="21">
        <f>'LIVRE Oficial'!E15</f>
        <v>0</v>
      </c>
      <c r="G16" s="21" t="str">
        <f>'LIVRE Oficial'!I15</f>
        <v>Funil</v>
      </c>
      <c r="H16" s="35" t="str">
        <f>'LIVRE Oficial'!F15</f>
        <v>Entregue</v>
      </c>
      <c r="I16" s="71">
        <f>'LIVRE Oficial'!G15</f>
        <v>0</v>
      </c>
      <c r="J16" s="21" t="str">
        <f>'LIVRE Oficial'!H15</f>
        <v>Melhoria</v>
      </c>
      <c r="K16" s="66" t="str">
        <f>'LIVRE Oficial'!L15</f>
        <v>OPORTUNIDADE | Enviar novas informações da proposta de Renovação para a Plataforma de Crédito</v>
      </c>
      <c r="L16" s="29">
        <f>'LIVRE Oficial'!V15</f>
        <v>0</v>
      </c>
      <c r="M16" s="21">
        <f>'LIVRE Oficial'!U15</f>
        <v>0</v>
      </c>
      <c r="N16" s="21" t="str">
        <f>'LIVRE Oficial'!M15</f>
        <v>M</v>
      </c>
      <c r="O16" s="22"/>
      <c r="P16" s="22"/>
      <c r="Q16" s="20">
        <f>'LIVRE Oficial'!J15</f>
        <v>706718</v>
      </c>
      <c r="R16" s="73">
        <f>'LIVRE Oficial'!P15</f>
        <v>0</v>
      </c>
      <c r="S16" s="73">
        <f>'LIVRE Oficial'!Q15</f>
        <v>0</v>
      </c>
      <c r="T16" s="73">
        <f>'LIVRE Oficial'!R15</f>
        <v>0</v>
      </c>
      <c r="U16" s="20">
        <f>'LIVRE Oficial'!S15</f>
        <v>0</v>
      </c>
      <c r="V16" s="73">
        <f>'LIVRE Oficial'!K15</f>
        <v>0</v>
      </c>
      <c r="W16" s="1"/>
    </row>
    <row r="17" spans="2:23" ht="15.95" customHeight="1">
      <c r="B17" s="18">
        <f>'LIVRE Oficial'!A15</f>
        <v>140</v>
      </c>
      <c r="C17" s="68">
        <f>'LIVRE Oficial'!B16</f>
        <v>46224</v>
      </c>
      <c r="D17" s="21" t="str">
        <f>'LIVRE Oficial'!C16</f>
        <v>Jéssica Fachina</v>
      </c>
      <c r="E17" s="67" t="str">
        <f>'LIVRE Oficial'!D16</f>
        <v>Funil + Atlas</v>
      </c>
      <c r="F17" s="21">
        <f>'LIVRE Oficial'!E16</f>
        <v>0</v>
      </c>
      <c r="G17" s="21" t="str">
        <f>'LIVRE Oficial'!I16</f>
        <v>Funil + Atlas</v>
      </c>
      <c r="H17" s="35" t="str">
        <f>'LIVRE Oficial'!F16</f>
        <v>Entregue</v>
      </c>
      <c r="I17" s="71">
        <f>'LIVRE Oficial'!G16</f>
        <v>0</v>
      </c>
      <c r="J17" s="21" t="str">
        <f>'LIVRE Oficial'!H16</f>
        <v>Melhoria</v>
      </c>
      <c r="K17" s="66" t="str">
        <f>'LIVRE Oficial'!L16</f>
        <v>OPORTUNIDADE | Desenvolver novas regras de Desatrelamento V2</v>
      </c>
      <c r="L17" s="29">
        <f>'LIVRE Oficial'!V16</f>
        <v>0</v>
      </c>
      <c r="M17" s="21">
        <f>'LIVRE Oficial'!U16</f>
        <v>0</v>
      </c>
      <c r="N17" s="21" t="str">
        <f>'LIVRE Oficial'!M16</f>
        <v>M</v>
      </c>
      <c r="O17" s="22"/>
      <c r="P17" s="22"/>
      <c r="Q17" s="20">
        <f>'LIVRE Oficial'!J16</f>
        <v>706680</v>
      </c>
      <c r="R17" s="73">
        <f>'LIVRE Oficial'!P16</f>
        <v>0</v>
      </c>
      <c r="S17" s="73">
        <f>'LIVRE Oficial'!Q16</f>
        <v>0</v>
      </c>
      <c r="T17" s="73">
        <f>'LIVRE Oficial'!R16</f>
        <v>0</v>
      </c>
      <c r="U17" s="20">
        <f>'LIVRE Oficial'!S16</f>
        <v>0</v>
      </c>
      <c r="V17" s="73">
        <f>'LIVRE Oficial'!K16</f>
        <v>1</v>
      </c>
      <c r="W17" s="1"/>
    </row>
    <row r="18" spans="2:23" ht="15.95">
      <c r="B18" s="18">
        <f>'LIVRE Oficial'!A16</f>
        <v>141</v>
      </c>
      <c r="C18" s="68" t="e">
        <f>'LIVRE Oficial'!#REF!</f>
        <v>#REF!</v>
      </c>
      <c r="D18" s="21" t="e">
        <f>'LIVRE Oficial'!#REF!</f>
        <v>#REF!</v>
      </c>
      <c r="E18" s="67" t="e">
        <f>'LIVRE Oficial'!#REF!</f>
        <v>#REF!</v>
      </c>
      <c r="F18" s="21" t="e">
        <f>'LIVRE Oficial'!#REF!</f>
        <v>#REF!</v>
      </c>
      <c r="G18" s="21" t="e">
        <f>'LIVRE Oficial'!#REF!</f>
        <v>#REF!</v>
      </c>
      <c r="H18" s="35" t="e">
        <f>'LIVRE Oficial'!#REF!</f>
        <v>#REF!</v>
      </c>
      <c r="I18" s="71" t="e">
        <f>'LIVRE Oficial'!#REF!</f>
        <v>#REF!</v>
      </c>
      <c r="J18" s="21" t="e">
        <f>'LIVRE Oficial'!#REF!</f>
        <v>#REF!</v>
      </c>
      <c r="K18" s="66" t="e">
        <f>'LIVRE Oficial'!#REF!</f>
        <v>#REF!</v>
      </c>
      <c r="L18" s="29" t="e">
        <f>'LIVRE Oficial'!#REF!</f>
        <v>#REF!</v>
      </c>
      <c r="M18" s="21" t="e">
        <f>'LIVRE Oficial'!#REF!</f>
        <v>#REF!</v>
      </c>
      <c r="N18" s="21" t="e">
        <f>'LIVRE Oficial'!#REF!</f>
        <v>#REF!</v>
      </c>
      <c r="O18" s="22"/>
      <c r="P18" s="22"/>
      <c r="Q18" s="20" t="e">
        <f>'LIVRE Oficial'!#REF!</f>
        <v>#REF!</v>
      </c>
      <c r="R18" s="73" t="e">
        <f>'LIVRE Oficial'!#REF!</f>
        <v>#REF!</v>
      </c>
      <c r="S18" s="73" t="e">
        <f>'LIVRE Oficial'!#REF!</f>
        <v>#REF!</v>
      </c>
      <c r="T18" s="73" t="e">
        <f>'LIVRE Oficial'!#REF!</f>
        <v>#REF!</v>
      </c>
      <c r="U18" s="20" t="e">
        <f>'LIVRE Oficial'!#REF!</f>
        <v>#REF!</v>
      </c>
      <c r="V18" s="73" t="e">
        <f>'LIVRE Oficial'!#REF!</f>
        <v>#REF!</v>
      </c>
      <c r="W18" s="1"/>
    </row>
    <row r="19" spans="2:23" ht="15.95" customHeight="1">
      <c r="B19" s="18" t="e">
        <f>'LIVRE Oficial'!#REF!</f>
        <v>#REF!</v>
      </c>
      <c r="C19" s="68">
        <f>'LIVRE Oficial'!B18</f>
        <v>46174</v>
      </c>
      <c r="D19" s="21" t="str">
        <f>'LIVRE Oficial'!C18</f>
        <v>Daniela Mochon</v>
      </c>
      <c r="E19" s="67" t="str">
        <f>'LIVRE Oficial'!D18</f>
        <v>Comercial</v>
      </c>
      <c r="F19" s="21">
        <f>'LIVRE Oficial'!E18</f>
        <v>0</v>
      </c>
      <c r="G19" s="21" t="str">
        <f>'LIVRE Oficial'!I18</f>
        <v>Funil</v>
      </c>
      <c r="H19" s="35" t="str">
        <f>'LIVRE Oficial'!F18</f>
        <v>Entregue</v>
      </c>
      <c r="I19" s="71">
        <f>'LIVRE Oficial'!G18</f>
        <v>0</v>
      </c>
      <c r="J19" s="21" t="str">
        <f>'LIVRE Oficial'!H18</f>
        <v>Melhoria</v>
      </c>
      <c r="K19" s="66" t="str">
        <f>'LIVRE Oficial'!L18</f>
        <v>OPORTUNIDADE | Desatrelamento Automático de Vendedor</v>
      </c>
      <c r="L19" s="29">
        <f>'LIVRE Oficial'!V18</f>
        <v>0</v>
      </c>
      <c r="M19" s="21">
        <f>'LIVRE Oficial'!U18</f>
        <v>0</v>
      </c>
      <c r="N19" s="21" t="str">
        <f>'LIVRE Oficial'!M18</f>
        <v>M</v>
      </c>
      <c r="O19" s="22"/>
      <c r="P19" s="22"/>
      <c r="Q19" s="20">
        <f>'LIVRE Oficial'!J18</f>
        <v>661063</v>
      </c>
      <c r="R19" s="73">
        <f>'LIVRE Oficial'!P18</f>
        <v>0</v>
      </c>
      <c r="S19" s="73">
        <f>'LIVRE Oficial'!Q18</f>
        <v>0</v>
      </c>
      <c r="T19" s="73">
        <f>'LIVRE Oficial'!R18</f>
        <v>0</v>
      </c>
      <c r="U19" s="20">
        <f>'LIVRE Oficial'!S18</f>
        <v>0</v>
      </c>
      <c r="V19" s="73">
        <f>'LIVRE Oficial'!K18</f>
        <v>2</v>
      </c>
      <c r="W19" s="1"/>
    </row>
    <row r="20" spans="2:23" ht="15.95">
      <c r="B20" s="18">
        <f>'LIVRE Oficial'!A18</f>
        <v>121</v>
      </c>
      <c r="C20" s="68">
        <f>'LIVRE Oficial'!B19</f>
        <v>46174</v>
      </c>
      <c r="D20" s="21" t="str">
        <f>'LIVRE Oficial'!C19</f>
        <v>Daniela Mochon</v>
      </c>
      <c r="E20" s="67" t="str">
        <f>'LIVRE Oficial'!D19</f>
        <v>Comercial</v>
      </c>
      <c r="F20" s="21">
        <f>'LIVRE Oficial'!E19</f>
        <v>0</v>
      </c>
      <c r="G20" s="21" t="str">
        <f>'LIVRE Oficial'!I19</f>
        <v>Funil</v>
      </c>
      <c r="H20" s="35" t="str">
        <f>'LIVRE Oficial'!F19</f>
        <v>Entregue</v>
      </c>
      <c r="I20" s="71">
        <f>'LIVRE Oficial'!G19</f>
        <v>0</v>
      </c>
      <c r="J20" s="21" t="str">
        <f>'LIVRE Oficial'!H19</f>
        <v>BUG</v>
      </c>
      <c r="K20" s="66" t="str">
        <f>'LIVRE Oficial'!L19</f>
        <v>BUG | Nas trocas ou alterações de vendedor, apenas o ID é atualizado e as outras informações ficam incorretas</v>
      </c>
      <c r="L20" s="29">
        <f>'LIVRE Oficial'!V19</f>
        <v>0</v>
      </c>
      <c r="M20" s="21" t="str">
        <f>'LIVRE Oficial'!U19</f>
        <v>Sprint 8</v>
      </c>
      <c r="N20" s="21" t="str">
        <f>'LIVRE Oficial'!M19</f>
        <v>P</v>
      </c>
      <c r="O20" s="22"/>
      <c r="P20" s="22"/>
      <c r="Q20" s="20" t="str">
        <f>'LIVRE Oficial'!J19</f>
        <v>-</v>
      </c>
      <c r="R20" s="73">
        <f>'LIVRE Oficial'!P19</f>
        <v>0</v>
      </c>
      <c r="S20" s="73">
        <f>'LIVRE Oficial'!Q19</f>
        <v>0</v>
      </c>
      <c r="T20" s="73">
        <f>'LIVRE Oficial'!R19</f>
        <v>0</v>
      </c>
      <c r="U20" s="20">
        <f>'LIVRE Oficial'!S19</f>
        <v>0</v>
      </c>
      <c r="V20" s="73">
        <f>'LIVRE Oficial'!K19</f>
        <v>2</v>
      </c>
      <c r="W20" s="1"/>
    </row>
    <row r="21" spans="2:23" ht="15.95">
      <c r="B21" s="18">
        <f>'LIVRE Oficial'!A19</f>
        <v>122</v>
      </c>
      <c r="C21" s="68">
        <f>'LIVRE Oficial'!B20</f>
        <v>46197</v>
      </c>
      <c r="D21" s="21" t="str">
        <f>'LIVRE Oficial'!C20</f>
        <v>Daniela Mochon</v>
      </c>
      <c r="E21" s="67" t="str">
        <f>'LIVRE Oficial'!D20</f>
        <v>Comercial</v>
      </c>
      <c r="F21" s="21">
        <f>'LIVRE Oficial'!E20</f>
        <v>0</v>
      </c>
      <c r="G21" s="21" t="str">
        <f>'LIVRE Oficial'!I20</f>
        <v>Funil &amp; Atlas</v>
      </c>
      <c r="H21" s="35" t="str">
        <f>'LIVRE Oficial'!F20</f>
        <v>Entregue</v>
      </c>
      <c r="I21" s="71">
        <f>'LIVRE Oficial'!G20</f>
        <v>1</v>
      </c>
      <c r="J21" s="21" t="str">
        <f>'LIVRE Oficial'!H20</f>
        <v>Melhoria</v>
      </c>
      <c r="K21" s="66" t="str">
        <f>'LIVRE Oficial'!L20</f>
        <v xml:space="preserve">OPORTUNIDADE | Adicionar campo de "Prazo de Entrega Informado ao cliente" </v>
      </c>
      <c r="L21" s="29">
        <f>'LIVRE Oficial'!V20</f>
        <v>0</v>
      </c>
      <c r="M21" s="21">
        <f>'LIVRE Oficial'!U20</f>
        <v>0</v>
      </c>
      <c r="N21" s="21" t="str">
        <f>'LIVRE Oficial'!M20</f>
        <v>P</v>
      </c>
      <c r="O21" s="22"/>
      <c r="P21" s="22"/>
      <c r="Q21" s="20">
        <f>'LIVRE Oficial'!J20</f>
        <v>679043</v>
      </c>
      <c r="R21" s="73">
        <f>'LIVRE Oficial'!P20</f>
        <v>0</v>
      </c>
      <c r="S21" s="73">
        <f>'LIVRE Oficial'!Q20</f>
        <v>0</v>
      </c>
      <c r="T21" s="73">
        <f>'LIVRE Oficial'!R20</f>
        <v>0</v>
      </c>
      <c r="U21" s="20">
        <f>'LIVRE Oficial'!S20</f>
        <v>0</v>
      </c>
      <c r="V21" s="73">
        <f>'LIVRE Oficial'!K20</f>
        <v>0</v>
      </c>
      <c r="W21" s="1"/>
    </row>
    <row r="22" spans="2:23" ht="15.95">
      <c r="B22" s="18">
        <f>'LIVRE Oficial'!A20</f>
        <v>0</v>
      </c>
      <c r="C22" s="68">
        <f>'LIVRE Oficial'!B21</f>
        <v>46238</v>
      </c>
      <c r="D22" s="21" t="str">
        <f>'LIVRE Oficial'!C21</f>
        <v>Daniela Mochon</v>
      </c>
      <c r="E22" s="67" t="str">
        <f>'LIVRE Oficial'!D21</f>
        <v>Comercial</v>
      </c>
      <c r="F22" s="21">
        <f>'LIVRE Oficial'!E21</f>
        <v>0</v>
      </c>
      <c r="G22" s="21" t="str">
        <f>'LIVRE Oficial'!I21</f>
        <v>Funil</v>
      </c>
      <c r="H22" s="35" t="str">
        <f>'LIVRE Oficial'!F21</f>
        <v>Entregue</v>
      </c>
      <c r="I22" s="71">
        <f>'LIVRE Oficial'!G21</f>
        <v>3</v>
      </c>
      <c r="J22" s="21" t="str">
        <f>'LIVRE Oficial'!H21</f>
        <v>Melhoria</v>
      </c>
      <c r="K22" s="66" t="str">
        <f>'LIVRE Oficial'!L21</f>
        <v>OPORTUNIDADE | Garantir o envio e registro do desconto de 3% do Atlas para o Salesforce</v>
      </c>
      <c r="L22" s="29">
        <f>'LIVRE Oficial'!V21</f>
        <v>0</v>
      </c>
      <c r="M22" s="21" t="str">
        <f>'LIVRE Oficial'!U21</f>
        <v>Entregue a parte funcional e API do lado do SF. Aguardando Atlas</v>
      </c>
      <c r="N22" s="21">
        <f>'LIVRE Oficial'!M21</f>
        <v>0</v>
      </c>
      <c r="O22" s="22"/>
      <c r="P22" s="22"/>
      <c r="Q22" s="20">
        <f>'LIVRE Oficial'!J21</f>
        <v>539594</v>
      </c>
      <c r="R22" s="73">
        <f>'LIVRE Oficial'!P21</f>
        <v>3</v>
      </c>
      <c r="S22" s="73">
        <f>'LIVRE Oficial'!Q21</f>
        <v>2</v>
      </c>
      <c r="T22" s="73">
        <f>'LIVRE Oficial'!R21</f>
        <v>3</v>
      </c>
      <c r="U22" s="20">
        <f>'LIVRE Oficial'!S21</f>
        <v>8</v>
      </c>
      <c r="V22" s="73">
        <f>'LIVRE Oficial'!K21</f>
        <v>5</v>
      </c>
      <c r="W22" s="1"/>
    </row>
    <row r="23" spans="2:23" ht="15.95">
      <c r="B23" s="18">
        <f>'LIVRE Oficial'!A21</f>
        <v>25</v>
      </c>
      <c r="C23" s="68">
        <f>'LIVRE Oficial'!B22</f>
        <v>46210</v>
      </c>
      <c r="D23" s="21" t="str">
        <f>'LIVRE Oficial'!C22</f>
        <v>Jéssica Fachina</v>
      </c>
      <c r="E23" s="67" t="str">
        <f>'LIVRE Oficial'!D22</f>
        <v>Comercial</v>
      </c>
      <c r="F23" s="21">
        <f>'LIVRE Oficial'!E22</f>
        <v>0</v>
      </c>
      <c r="G23" s="21" t="str">
        <f>'LIVRE Oficial'!I22</f>
        <v>Funil + Atlas</v>
      </c>
      <c r="H23" s="35" t="str">
        <f>'LIVRE Oficial'!F22</f>
        <v>Entregue</v>
      </c>
      <c r="I23" s="71">
        <f>'LIVRE Oficial'!G22</f>
        <v>0</v>
      </c>
      <c r="J23" s="21" t="str">
        <f>'LIVRE Oficial'!H22</f>
        <v>Melhoria</v>
      </c>
      <c r="K23" s="66" t="str">
        <f>'LIVRE Oficial'!L22</f>
        <v>LEAD | Encaminhar automaticamente para LOST Leads com Score inferior a 300</v>
      </c>
      <c r="L23" s="29">
        <f>'LIVRE Oficial'!V22</f>
        <v>0</v>
      </c>
      <c r="M23" s="21">
        <f>'LIVRE Oficial'!U22</f>
        <v>0</v>
      </c>
      <c r="N23" s="21" t="str">
        <f>'LIVRE Oficial'!M22</f>
        <v>M</v>
      </c>
      <c r="O23" s="22"/>
      <c r="P23" s="22"/>
      <c r="Q23" s="20">
        <f>'LIVRE Oficial'!J22</f>
        <v>706752</v>
      </c>
      <c r="R23" s="73">
        <f>'LIVRE Oficial'!P22</f>
        <v>0</v>
      </c>
      <c r="S23" s="73">
        <f>'LIVRE Oficial'!Q22</f>
        <v>0</v>
      </c>
      <c r="T23" s="73">
        <f>'LIVRE Oficial'!R22</f>
        <v>0</v>
      </c>
      <c r="U23" s="20">
        <f>'LIVRE Oficial'!S22</f>
        <v>0</v>
      </c>
      <c r="V23" s="73">
        <f>'LIVRE Oficial'!K22</f>
        <v>0</v>
      </c>
      <c r="W23" s="1"/>
    </row>
    <row r="24" spans="2:23" ht="15.95">
      <c r="B24" s="18">
        <f>'LIVRE Oficial'!A22</f>
        <v>135</v>
      </c>
      <c r="C24" s="68">
        <f>'LIVRE Oficial'!B23</f>
        <v>46182</v>
      </c>
      <c r="D24" s="21" t="str">
        <f>'LIVRE Oficial'!C23</f>
        <v>Daniela Mochon</v>
      </c>
      <c r="E24" s="67" t="str">
        <f>'LIVRE Oficial'!D23</f>
        <v>Comercial</v>
      </c>
      <c r="F24" s="21">
        <f>'LIVRE Oficial'!E23</f>
        <v>0</v>
      </c>
      <c r="G24" s="21" t="str">
        <f>'LIVRE Oficial'!I23</f>
        <v>Funil</v>
      </c>
      <c r="H24" s="35" t="str">
        <f>'LIVRE Oficial'!F23</f>
        <v>Entregue</v>
      </c>
      <c r="I24" s="71">
        <f>'LIVRE Oficial'!G23</f>
        <v>0</v>
      </c>
      <c r="J24" s="21" t="str">
        <f>'LIVRE Oficial'!H23</f>
        <v>Melhoria</v>
      </c>
      <c r="K24" s="66" t="str">
        <f>'LIVRE Oficial'!L23</f>
        <v>Enviar notificação ao vendedor quando um novo lead for distribuido a ele</v>
      </c>
      <c r="L24" s="29">
        <f>'LIVRE Oficial'!V23</f>
        <v>0</v>
      </c>
      <c r="M24" s="21">
        <f>'LIVRE Oficial'!U23</f>
        <v>0</v>
      </c>
      <c r="N24" s="21" t="str">
        <f>'LIVRE Oficial'!M23</f>
        <v>P</v>
      </c>
      <c r="O24" s="22"/>
      <c r="P24" s="22"/>
      <c r="Q24" s="20">
        <f>'LIVRE Oficial'!J23</f>
        <v>670511</v>
      </c>
      <c r="R24" s="73">
        <f>'LIVRE Oficial'!P23</f>
        <v>0</v>
      </c>
      <c r="S24" s="73">
        <f>'LIVRE Oficial'!Q23</f>
        <v>0</v>
      </c>
      <c r="T24" s="73">
        <f>'LIVRE Oficial'!R23</f>
        <v>0</v>
      </c>
      <c r="U24" s="20">
        <f>'LIVRE Oficial'!S23</f>
        <v>0</v>
      </c>
      <c r="V24" s="73">
        <f>'LIVRE Oficial'!K23</f>
        <v>3</v>
      </c>
      <c r="W24" s="1"/>
    </row>
    <row r="25" spans="2:23" ht="15.95">
      <c r="B25" s="18">
        <f>'LIVRE Oficial'!A23</f>
        <v>129</v>
      </c>
      <c r="C25" s="68">
        <f>'LIVRE Oficial'!B24</f>
        <v>9427</v>
      </c>
      <c r="D25" s="21" t="str">
        <f>'LIVRE Oficial'!C24</f>
        <v>Daniela Mochon</v>
      </c>
      <c r="E25" s="67" t="str">
        <f>'LIVRE Oficial'!D24</f>
        <v>Comercial</v>
      </c>
      <c r="F25" s="21">
        <f>'LIVRE Oficial'!E24</f>
        <v>0</v>
      </c>
      <c r="G25" s="21" t="str">
        <f>'LIVRE Oficial'!I24</f>
        <v>Funil</v>
      </c>
      <c r="H25" s="35" t="str">
        <f>'LIVRE Oficial'!F24</f>
        <v>Backlog</v>
      </c>
      <c r="I25" s="71" t="str">
        <f>'LIVRE Oficial'!G24</f>
        <v> </v>
      </c>
      <c r="J25" s="21" t="str">
        <f>'LIVRE Oficial'!H24</f>
        <v>Melhoria</v>
      </c>
      <c r="K25" s="66" t="str">
        <f>'LIVRE Oficial'!L24</f>
        <v>LEAD | Serviço de Consulta de CEP do Funil de Vendas</v>
      </c>
      <c r="L25" s="29">
        <f>'LIVRE Oficial'!V24</f>
        <v>0</v>
      </c>
      <c r="M25" s="21">
        <f>'LIVRE Oficial'!U24</f>
        <v>0</v>
      </c>
      <c r="N25" s="21" t="str">
        <f>'LIVRE Oficial'!M24</f>
        <v>M</v>
      </c>
      <c r="O25" s="22"/>
      <c r="P25" s="22"/>
      <c r="Q25" s="20">
        <f>'LIVRE Oficial'!J24</f>
        <v>358303</v>
      </c>
      <c r="R25" s="73" t="str">
        <f>'LIVRE Oficial'!P24</f>
        <v> </v>
      </c>
      <c r="S25" s="73" t="str">
        <f>'LIVRE Oficial'!Q24</f>
        <v> </v>
      </c>
      <c r="T25" s="73" t="str">
        <f>'LIVRE Oficial'!R24</f>
        <v> </v>
      </c>
      <c r="U25" s="20" t="e">
        <f>'LIVRE Oficial'!S24</f>
        <v>#VALUE!</v>
      </c>
      <c r="V25" s="73">
        <f>'LIVRE Oficial'!K24</f>
        <v>0</v>
      </c>
      <c r="W25" s="1"/>
    </row>
    <row r="26" spans="2:23" ht="15.95">
      <c r="B26" s="18">
        <f>'LIVRE Oficial'!A24</f>
        <v>31</v>
      </c>
      <c r="C26" s="68">
        <f>'LIVRE Oficial'!B25</f>
        <v>9616</v>
      </c>
      <c r="D26" s="21" t="str">
        <f>'LIVRE Oficial'!C25</f>
        <v>Daniela Mochon</v>
      </c>
      <c r="E26" s="67" t="str">
        <f>'LIVRE Oficial'!D25</f>
        <v>Comercial</v>
      </c>
      <c r="F26" s="21">
        <f>'LIVRE Oficial'!E25</f>
        <v>0</v>
      </c>
      <c r="G26" s="21" t="str">
        <f>'LIVRE Oficial'!I25</f>
        <v>Funil</v>
      </c>
      <c r="H26" s="35" t="str">
        <f>'LIVRE Oficial'!F25</f>
        <v>Entregue</v>
      </c>
      <c r="I26" s="71">
        <f>'LIVRE Oficial'!G25</f>
        <v>1</v>
      </c>
      <c r="J26" s="21" t="str">
        <f>'LIVRE Oficial'!H25</f>
        <v>Melhoria</v>
      </c>
      <c r="K26" s="66" t="str">
        <f>'LIVRE Oficial'!L25</f>
        <v>OPORTUNIDADE | Desenvolver Correção do Status da Análise de Crédito</v>
      </c>
      <c r="L26" s="29">
        <f>'LIVRE Oficial'!V25</f>
        <v>0</v>
      </c>
      <c r="M26" s="21">
        <f>'LIVRE Oficial'!U25</f>
        <v>0</v>
      </c>
      <c r="N26" s="21">
        <f>'LIVRE Oficial'!M25</f>
        <v>0</v>
      </c>
      <c r="O26" s="22"/>
      <c r="P26" s="22"/>
      <c r="Q26" s="20">
        <f>'LIVRE Oficial'!J25</f>
        <v>625264</v>
      </c>
      <c r="R26" s="73">
        <f>'LIVRE Oficial'!P25</f>
        <v>2</v>
      </c>
      <c r="S26" s="73">
        <f>'LIVRE Oficial'!Q25</f>
        <v>1</v>
      </c>
      <c r="T26" s="73">
        <f>'LIVRE Oficial'!R25</f>
        <v>2</v>
      </c>
      <c r="U26" s="20">
        <f>'LIVRE Oficial'!S25</f>
        <v>5</v>
      </c>
      <c r="V26" s="73">
        <f>'LIVRE Oficial'!K25</f>
        <v>9</v>
      </c>
      <c r="W26" s="1"/>
    </row>
    <row r="27" spans="2:23" ht="15.95">
      <c r="B27" s="18">
        <f>'LIVRE Oficial'!A25</f>
        <v>12</v>
      </c>
      <c r="C27" s="68">
        <f>'LIVRE Oficial'!B26</f>
        <v>46198</v>
      </c>
      <c r="D27" s="21" t="str">
        <f>'LIVRE Oficial'!C26</f>
        <v>Daniela Mochon</v>
      </c>
      <c r="E27" s="67" t="str">
        <f>'LIVRE Oficial'!D26</f>
        <v>Comercial</v>
      </c>
      <c r="F27" s="21">
        <f>'LIVRE Oficial'!E26</f>
        <v>0</v>
      </c>
      <c r="G27" s="21" t="str">
        <f>'LIVRE Oficial'!I26</f>
        <v>Funil + Atlas</v>
      </c>
      <c r="H27" s="35" t="str">
        <f>'LIVRE Oficial'!F26</f>
        <v>Entregue</v>
      </c>
      <c r="I27" s="71">
        <f>'LIVRE Oficial'!G26</f>
        <v>1</v>
      </c>
      <c r="J27" s="21" t="str">
        <f>'LIVRE Oficial'!H26</f>
        <v>Melhoria</v>
      </c>
      <c r="K27" s="66" t="str">
        <f>'LIVRE Oficial'!L26</f>
        <v>LEAD | Fechar automaticamente como "lost" leads com score de 1 a 300 com motivo fechado perdido de "Score abaixo de 300" (Atlas deve apresentar a mesma mensagem no site e altas do motivo "short recusado")</v>
      </c>
      <c r="L27" s="29">
        <f>'LIVRE Oficial'!V26</f>
        <v>0</v>
      </c>
      <c r="M27" s="21">
        <f>'LIVRE Oficial'!U26</f>
        <v>0</v>
      </c>
      <c r="N27" s="21" t="str">
        <f>'LIVRE Oficial'!M26</f>
        <v>P</v>
      </c>
      <c r="O27" s="22"/>
      <c r="P27" s="22"/>
      <c r="Q27" s="20">
        <f>'LIVRE Oficial'!J26</f>
        <v>0</v>
      </c>
      <c r="R27" s="73">
        <f>'LIVRE Oficial'!P26</f>
        <v>0</v>
      </c>
      <c r="S27" s="73">
        <f>'LIVRE Oficial'!Q26</f>
        <v>0</v>
      </c>
      <c r="T27" s="73">
        <f>'LIVRE Oficial'!R26</f>
        <v>0</v>
      </c>
      <c r="U27" s="20">
        <f>'LIVRE Oficial'!S26</f>
        <v>0</v>
      </c>
      <c r="V27" s="73">
        <f>'LIVRE Oficial'!K26</f>
        <v>0</v>
      </c>
      <c r="W27" s="1"/>
    </row>
    <row r="28" spans="2:23" ht="15.95">
      <c r="B28" s="18">
        <f>'LIVRE Oficial'!A26</f>
        <v>133</v>
      </c>
      <c r="C28" s="68">
        <f>'LIVRE Oficial'!B27</f>
        <v>46183</v>
      </c>
      <c r="D28" s="21" t="str">
        <f>'LIVRE Oficial'!C27</f>
        <v>Daniela Mochon</v>
      </c>
      <c r="E28" s="67" t="str">
        <f>'LIVRE Oficial'!D27</f>
        <v>Comercial</v>
      </c>
      <c r="F28" s="21">
        <f>'LIVRE Oficial'!E27</f>
        <v>0</v>
      </c>
      <c r="G28" s="21" t="str">
        <f>'LIVRE Oficial'!I27</f>
        <v>Funil + Atlas</v>
      </c>
      <c r="H28" s="35" t="str">
        <f>'LIVRE Oficial'!F27</f>
        <v>Backlog</v>
      </c>
      <c r="I28" s="71">
        <f>'LIVRE Oficial'!G27</f>
        <v>1</v>
      </c>
      <c r="J28" s="21" t="str">
        <f>'LIVRE Oficial'!H27</f>
        <v>Melhoria</v>
      </c>
      <c r="K28" s="66" t="str">
        <f>'LIVRE Oficial'!L27</f>
        <v>OPORTUNIDADE | Criar campo "Parceiro" (Atlas deve enviar a qual parceiro esse cliente esta vinculado)</v>
      </c>
      <c r="L28" s="29">
        <f>'LIVRE Oficial'!V27</f>
        <v>0</v>
      </c>
      <c r="M28" s="21" t="str">
        <f>'LIVRE Oficial'!U27</f>
        <v>Sugestão: Agrupar com a US 329942</v>
      </c>
      <c r="N28" s="21">
        <f>'LIVRE Oficial'!M27</f>
        <v>0</v>
      </c>
      <c r="O28" s="22"/>
      <c r="P28" s="22"/>
      <c r="Q28" s="20">
        <f>'LIVRE Oficial'!J27</f>
        <v>543212</v>
      </c>
      <c r="R28" s="73">
        <f>'LIVRE Oficial'!P27</f>
        <v>1</v>
      </c>
      <c r="S28" s="73">
        <f>'LIVRE Oficial'!Q27</f>
        <v>1</v>
      </c>
      <c r="T28" s="73">
        <f>'LIVRE Oficial'!R27</f>
        <v>1</v>
      </c>
      <c r="U28" s="20">
        <f>'LIVRE Oficial'!S27</f>
        <v>3</v>
      </c>
      <c r="V28" s="73">
        <f>'LIVRE Oficial'!K27</f>
        <v>0</v>
      </c>
      <c r="W28" s="1"/>
    </row>
    <row r="29" spans="2:23" ht="15.95">
      <c r="B29" s="18">
        <f>'LIVRE Oficial'!A27</f>
        <v>130</v>
      </c>
      <c r="C29" s="68">
        <f>'LIVRE Oficial'!B28</f>
        <v>46238</v>
      </c>
      <c r="D29" s="21" t="str">
        <f>'LIVRE Oficial'!C28</f>
        <v>Daniela Mochon</v>
      </c>
      <c r="E29" s="67" t="str">
        <f>'LIVRE Oficial'!D28</f>
        <v>Comercial</v>
      </c>
      <c r="F29" s="21">
        <f>'LIVRE Oficial'!E28</f>
        <v>0</v>
      </c>
      <c r="G29" s="21" t="str">
        <f>'LIVRE Oficial'!I28</f>
        <v>Funil</v>
      </c>
      <c r="H29" s="35" t="str">
        <f>'LIVRE Oficial'!F28</f>
        <v>Entregue</v>
      </c>
      <c r="I29" s="71">
        <f>'LIVRE Oficial'!G28</f>
        <v>1</v>
      </c>
      <c r="J29" s="21" t="str">
        <f>'LIVRE Oficial'!H28</f>
        <v>Melhoria</v>
      </c>
      <c r="K29" s="66" t="str">
        <f>'LIVRE Oficial'!L28</f>
        <v>OPORTUNIDADE | Substituir exibição de endereço detalhado de fornecedores por localização genérica</v>
      </c>
      <c r="L29" s="29">
        <f>'LIVRE Oficial'!V28</f>
        <v>0</v>
      </c>
      <c r="M29" s="21">
        <f>'LIVRE Oficial'!U28</f>
        <v>0</v>
      </c>
      <c r="N29" s="21" t="str">
        <f>'LIVRE Oficial'!M28</f>
        <v>P</v>
      </c>
      <c r="O29" s="22"/>
      <c r="P29" s="22"/>
      <c r="Q29" s="20">
        <f>'LIVRE Oficial'!J28</f>
        <v>539556</v>
      </c>
      <c r="R29" s="73">
        <f>'LIVRE Oficial'!P28</f>
        <v>1</v>
      </c>
      <c r="S29" s="73">
        <f>'LIVRE Oficial'!Q28</f>
        <v>2</v>
      </c>
      <c r="T29" s="73">
        <f>'LIVRE Oficial'!R28</f>
        <v>2</v>
      </c>
      <c r="U29" s="20">
        <f>'LIVRE Oficial'!S28</f>
        <v>5</v>
      </c>
      <c r="V29" s="73">
        <f>'LIVRE Oficial'!K28</f>
        <v>6</v>
      </c>
      <c r="W29" s="1"/>
    </row>
    <row r="30" spans="2:23" ht="15.95">
      <c r="B30" s="18">
        <f>'LIVRE Oficial'!A28</f>
        <v>28</v>
      </c>
      <c r="C30" s="68">
        <f>'LIVRE Oficial'!B29</f>
        <v>46238</v>
      </c>
      <c r="D30" s="21" t="str">
        <f>'LIVRE Oficial'!C29</f>
        <v>Daniela Mochon</v>
      </c>
      <c r="E30" s="67" t="str">
        <f>'LIVRE Oficial'!D29</f>
        <v>Comercial</v>
      </c>
      <c r="F30" s="21">
        <f>'LIVRE Oficial'!E29</f>
        <v>0</v>
      </c>
      <c r="G30" s="21" t="str">
        <f>'LIVRE Oficial'!I29</f>
        <v>Funil</v>
      </c>
      <c r="H30" s="35" t="str">
        <f>'LIVRE Oficial'!F29</f>
        <v>Backlog</v>
      </c>
      <c r="I30" s="71">
        <f>'LIVRE Oficial'!G29</f>
        <v>3</v>
      </c>
      <c r="J30" s="21" t="str">
        <f>'LIVRE Oficial'!H29</f>
        <v>Melhoria</v>
      </c>
      <c r="K30" s="66" t="str">
        <f>'LIVRE Oficial'!L29</f>
        <v>OPORTUNIDADE | Preencher automaticamente a data de cobrança da primeira parcela em oportunidades de renovação</v>
      </c>
      <c r="L30" s="29">
        <f>'LIVRE Oficial'!V29</f>
        <v>0</v>
      </c>
      <c r="M30" s="21">
        <f>'LIVRE Oficial'!U29</f>
        <v>0</v>
      </c>
      <c r="N30" s="21" t="str">
        <f>'LIVRE Oficial'!M29</f>
        <v>M</v>
      </c>
      <c r="O30" s="22"/>
      <c r="P30" s="22"/>
      <c r="Q30" s="20">
        <f>'LIVRE Oficial'!J29</f>
        <v>539590</v>
      </c>
      <c r="R30" s="73">
        <f>'LIVRE Oficial'!P29</f>
        <v>3</v>
      </c>
      <c r="S30" s="73">
        <f>'LIVRE Oficial'!Q29</f>
        <v>3</v>
      </c>
      <c r="T30" s="73">
        <f>'LIVRE Oficial'!R29</f>
        <v>3</v>
      </c>
      <c r="U30" s="20">
        <f>'LIVRE Oficial'!S29</f>
        <v>9</v>
      </c>
      <c r="V30" s="73">
        <f>'LIVRE Oficial'!K29</f>
        <v>0</v>
      </c>
      <c r="W30" s="1"/>
    </row>
    <row r="31" spans="2:23" ht="15.95">
      <c r="B31" s="18">
        <f>'LIVRE Oficial'!A29</f>
        <v>26</v>
      </c>
      <c r="C31" s="68">
        <f>'LIVRE Oficial'!B30</f>
        <v>46269</v>
      </c>
      <c r="D31" s="21" t="str">
        <f>'LIVRE Oficial'!C30</f>
        <v>Daniela Mochon</v>
      </c>
      <c r="E31" s="67" t="str">
        <f>'LIVRE Oficial'!D30</f>
        <v>Comercial</v>
      </c>
      <c r="F31" s="21">
        <f>'LIVRE Oficial'!E30</f>
        <v>0</v>
      </c>
      <c r="G31" s="21" t="str">
        <f>'LIVRE Oficial'!I30</f>
        <v>Funil</v>
      </c>
      <c r="H31" s="35" t="str">
        <f>'LIVRE Oficial'!F30</f>
        <v>Backlog</v>
      </c>
      <c r="I31" s="71">
        <f>'LIVRE Oficial'!G30</f>
        <v>3</v>
      </c>
      <c r="J31" s="21" t="str">
        <f>'LIVRE Oficial'!H30</f>
        <v>Melhoria</v>
      </c>
      <c r="K31" s="66" t="str">
        <f>'LIVRE Oficial'!L30</f>
        <v>CONTRATO | Criar categoria de contrato “Renovação – Troca de Titularidade” com regras específicas de operação e cobrança</v>
      </c>
      <c r="L31" s="29">
        <f>'LIVRE Oficial'!V30</f>
        <v>0</v>
      </c>
      <c r="M31" s="21">
        <f>'LIVRE Oficial'!U30</f>
        <v>0</v>
      </c>
      <c r="N31" s="21" t="str">
        <f>'LIVRE Oficial'!M30</f>
        <v>M</v>
      </c>
      <c r="O31" s="22"/>
      <c r="P31" s="22"/>
      <c r="Q31" s="20">
        <f>'LIVRE Oficial'!J30</f>
        <v>543148</v>
      </c>
      <c r="R31" s="73">
        <f>'LIVRE Oficial'!P30</f>
        <v>3</v>
      </c>
      <c r="S31" s="73">
        <f>'LIVRE Oficial'!Q30</f>
        <v>2</v>
      </c>
      <c r="T31" s="73">
        <f>'LIVRE Oficial'!R30</f>
        <v>2</v>
      </c>
      <c r="U31" s="20">
        <f>'LIVRE Oficial'!S30</f>
        <v>7</v>
      </c>
      <c r="V31" s="73">
        <f>'LIVRE Oficial'!K30</f>
        <v>0</v>
      </c>
      <c r="W31" s="1"/>
    </row>
    <row r="32" spans="2:23" ht="15.95">
      <c r="B32" s="18">
        <f>'LIVRE Oficial'!A30</f>
        <v>22</v>
      </c>
      <c r="C32" s="68">
        <f>'LIVRE Oficial'!B31</f>
        <v>46238</v>
      </c>
      <c r="D32" s="21" t="str">
        <f>'LIVRE Oficial'!C31</f>
        <v>Daniela Mochon</v>
      </c>
      <c r="E32" s="67" t="str">
        <f>'LIVRE Oficial'!D31</f>
        <v>Comercial</v>
      </c>
      <c r="F32" s="21">
        <f>'LIVRE Oficial'!E31</f>
        <v>0</v>
      </c>
      <c r="G32" s="21" t="str">
        <f>'LIVRE Oficial'!I31</f>
        <v>Funil</v>
      </c>
      <c r="H32" s="35" t="str">
        <f>'LIVRE Oficial'!F31</f>
        <v>Backlog</v>
      </c>
      <c r="I32" s="71">
        <f>'LIVRE Oficial'!G31</f>
        <v>1</v>
      </c>
      <c r="J32" s="21" t="str">
        <f>'LIVRE Oficial'!H31</f>
        <v>Melhoria</v>
      </c>
      <c r="K32" s="66" t="str">
        <f>'LIVRE Oficial'!L31</f>
        <v>OPORTUNIDADE | Criar e preencher o campo “Revendedor Dono da Conta” para controle de comissionamentos</v>
      </c>
      <c r="L32" s="29">
        <f>'LIVRE Oficial'!V31</f>
        <v>0</v>
      </c>
      <c r="M32" s="21">
        <f>'LIVRE Oficial'!U31</f>
        <v>0</v>
      </c>
      <c r="N32" s="21" t="str">
        <f>'LIVRE Oficial'!M31</f>
        <v>P</v>
      </c>
      <c r="O32" s="22"/>
      <c r="P32" s="22"/>
      <c r="Q32" s="20">
        <f>'LIVRE Oficial'!J31</f>
        <v>539664</v>
      </c>
      <c r="R32" s="73">
        <f>'LIVRE Oficial'!P31</f>
        <v>1</v>
      </c>
      <c r="S32" s="73">
        <f>'LIVRE Oficial'!Q31</f>
        <v>3</v>
      </c>
      <c r="T32" s="73">
        <f>'LIVRE Oficial'!R31</f>
        <v>3</v>
      </c>
      <c r="U32" s="20">
        <f>'LIVRE Oficial'!S31</f>
        <v>7</v>
      </c>
      <c r="V32" s="73">
        <f>'LIVRE Oficial'!K31</f>
        <v>0</v>
      </c>
      <c r="W32" s="1"/>
    </row>
    <row r="33" spans="2:23" ht="15.95">
      <c r="B33" s="18">
        <f>'LIVRE Oficial'!A31</f>
        <v>23</v>
      </c>
      <c r="C33" s="68">
        <f>'LIVRE Oficial'!B32</f>
        <v>9518</v>
      </c>
      <c r="D33" s="21" t="str">
        <f>'LIVRE Oficial'!C32</f>
        <v>Daniela Mochon</v>
      </c>
      <c r="E33" s="67" t="str">
        <f>'LIVRE Oficial'!D32</f>
        <v>Comercial</v>
      </c>
      <c r="F33" s="21" t="str">
        <f>'LIVRE Oficial'!E32</f>
        <v xml:space="preserve">C2601-22639 </v>
      </c>
      <c r="G33" s="21" t="str">
        <f>'LIVRE Oficial'!I32</f>
        <v>Funil</v>
      </c>
      <c r="H33" s="35" t="str">
        <f>'LIVRE Oficial'!F32</f>
        <v>Entregue</v>
      </c>
      <c r="I33" s="71">
        <f>'LIVRE Oficial'!G32</f>
        <v>2</v>
      </c>
      <c r="J33" s="21" t="str">
        <f>'LIVRE Oficial'!H32</f>
        <v>BUG</v>
      </c>
      <c r="K33" s="66" t="str">
        <f>'LIVRE Oficial'!L32</f>
        <v>CONTRATO | Tornar FirstName não obrigatório na criação de Contrato</v>
      </c>
      <c r="L33" s="29">
        <f>'LIVRE Oficial'!V32</f>
        <v>0</v>
      </c>
      <c r="M33" s="21">
        <f>'LIVRE Oficial'!U32</f>
        <v>0</v>
      </c>
      <c r="N33" s="21">
        <f>'LIVRE Oficial'!M32</f>
        <v>0</v>
      </c>
      <c r="O33" s="22"/>
      <c r="P33" s="22"/>
      <c r="Q33" s="20">
        <f>'LIVRE Oficial'!J32</f>
        <v>389294</v>
      </c>
      <c r="R33" s="73">
        <f>'LIVRE Oficial'!P32</f>
        <v>3</v>
      </c>
      <c r="S33" s="73">
        <f>'LIVRE Oficial'!Q32</f>
        <v>3</v>
      </c>
      <c r="T33" s="73">
        <f>'LIVRE Oficial'!R32</f>
        <v>3</v>
      </c>
      <c r="U33" s="20">
        <f>'LIVRE Oficial'!S32</f>
        <v>9</v>
      </c>
      <c r="V33" s="73">
        <f>'LIVRE Oficial'!K32</f>
        <v>2</v>
      </c>
      <c r="W33" s="1"/>
    </row>
    <row r="34" spans="2:23" ht="15.95">
      <c r="B34" s="18">
        <f>'LIVRE Oficial'!A32</f>
        <v>32</v>
      </c>
      <c r="C34" s="68">
        <f>'LIVRE Oficial'!B33</f>
        <v>9579</v>
      </c>
      <c r="D34" s="21" t="str">
        <f>'LIVRE Oficial'!C33</f>
        <v>Proativo</v>
      </c>
      <c r="E34" s="67" t="str">
        <f>'LIVRE Oficial'!D33</f>
        <v>Funil</v>
      </c>
      <c r="F34" s="21">
        <f>'LIVRE Oficial'!E33</f>
        <v>0</v>
      </c>
      <c r="G34" s="21" t="str">
        <f>'LIVRE Oficial'!I33</f>
        <v>Funil</v>
      </c>
      <c r="H34" s="35" t="str">
        <f>'LIVRE Oficial'!F33</f>
        <v>Entregue</v>
      </c>
      <c r="I34" s="71">
        <f>'LIVRE Oficial'!G33</f>
        <v>1</v>
      </c>
      <c r="J34" s="21" t="str">
        <f>'LIVRE Oficial'!H33</f>
        <v xml:space="preserve">BUG </v>
      </c>
      <c r="K34" s="66" t="str">
        <f>'LIVRE Oficial'!L33</f>
        <v>OPORTUNIDADE | Tratar descrição de LOG para Pedido de Compra</v>
      </c>
      <c r="L34" s="29">
        <f>'LIVRE Oficial'!V33</f>
        <v>0</v>
      </c>
      <c r="M34" s="21">
        <f>'LIVRE Oficial'!U33</f>
        <v>0</v>
      </c>
      <c r="N34" s="21">
        <f>'LIVRE Oficial'!M33</f>
        <v>0</v>
      </c>
      <c r="O34" s="22"/>
      <c r="P34" s="22"/>
      <c r="Q34" s="20">
        <f>'LIVRE Oficial'!J33</f>
        <v>484927</v>
      </c>
      <c r="R34" s="73">
        <f>'LIVRE Oficial'!P33</f>
        <v>1</v>
      </c>
      <c r="S34" s="73">
        <f>'LIVRE Oficial'!Q33</f>
        <v>1</v>
      </c>
      <c r="T34" s="73">
        <f>'LIVRE Oficial'!R33</f>
        <v>1</v>
      </c>
      <c r="U34" s="20">
        <f>'LIVRE Oficial'!S33</f>
        <v>3</v>
      </c>
      <c r="V34" s="73">
        <f>'LIVRE Oficial'!K33</f>
        <v>21</v>
      </c>
      <c r="W34" s="1"/>
    </row>
    <row r="35" spans="2:23" ht="15.95">
      <c r="B35" s="18">
        <f>'LIVRE Oficial'!A33</f>
        <v>33</v>
      </c>
      <c r="C35" s="68">
        <f>'LIVRE Oficial'!B34</f>
        <v>46329</v>
      </c>
      <c r="D35" s="21" t="str">
        <f>'LIVRE Oficial'!C34</f>
        <v>Daniela Mochon</v>
      </c>
      <c r="E35" s="67" t="str">
        <f>'LIVRE Oficial'!D34</f>
        <v>Comercial</v>
      </c>
      <c r="F35" s="21" t="str">
        <f>'LIVRE Oficial'!E34</f>
        <v>C2603-13439</v>
      </c>
      <c r="G35" s="21" t="str">
        <f>'LIVRE Oficial'!I34</f>
        <v>Funil</v>
      </c>
      <c r="H35" s="35" t="str">
        <f>'LIVRE Oficial'!F34</f>
        <v>Entregue</v>
      </c>
      <c r="I35" s="71">
        <f>'LIVRE Oficial'!G34</f>
        <v>1</v>
      </c>
      <c r="J35" s="21" t="str">
        <f>'LIVRE Oficial'!H34</f>
        <v xml:space="preserve">BUG </v>
      </c>
      <c r="K35" s="66" t="str">
        <f>'LIVRE Oficial'!L34</f>
        <v>CONTA | Alterar Nome do Cliente após Subida de Nova Proposta</v>
      </c>
      <c r="L35" s="29">
        <f>'LIVRE Oficial'!V34</f>
        <v>0</v>
      </c>
      <c r="M35" s="21">
        <f>'LIVRE Oficial'!U34</f>
        <v>0</v>
      </c>
      <c r="N35" s="21">
        <f>'LIVRE Oficial'!M34</f>
        <v>0</v>
      </c>
      <c r="O35" s="22"/>
      <c r="P35" s="22"/>
      <c r="Q35" s="20">
        <f>'LIVRE Oficial'!J34</f>
        <v>419044</v>
      </c>
      <c r="R35" s="73">
        <f>'LIVRE Oficial'!P34</f>
        <v>1</v>
      </c>
      <c r="S35" s="73">
        <f>'LIVRE Oficial'!Q34</f>
        <v>1</v>
      </c>
      <c r="T35" s="73">
        <f>'LIVRE Oficial'!R34</f>
        <v>1</v>
      </c>
      <c r="U35" s="20">
        <f>'LIVRE Oficial'!S34</f>
        <v>3</v>
      </c>
      <c r="V35" s="73">
        <f>'LIVRE Oficial'!K34</f>
        <v>20</v>
      </c>
      <c r="W35" s="1"/>
    </row>
    <row r="36" spans="2:23" ht="15.95">
      <c r="B36" s="18">
        <f>'LIVRE Oficial'!A34</f>
        <v>34</v>
      </c>
      <c r="C36" s="68">
        <f>'LIVRE Oficial'!B35</f>
        <v>9511</v>
      </c>
      <c r="D36" s="21" t="str">
        <f>'LIVRE Oficial'!C35</f>
        <v>Daniela Mochon</v>
      </c>
      <c r="E36" s="67" t="str">
        <f>'LIVRE Oficial'!D35</f>
        <v>Comercial</v>
      </c>
      <c r="F36" s="21">
        <f>'LIVRE Oficial'!E35</f>
        <v>0</v>
      </c>
      <c r="G36" s="21" t="str">
        <f>'LIVRE Oficial'!I35</f>
        <v>Funil</v>
      </c>
      <c r="H36" s="35" t="str">
        <f>'LIVRE Oficial'!F35</f>
        <v>Entregue</v>
      </c>
      <c r="I36" s="71">
        <f>'LIVRE Oficial'!G35</f>
        <v>1</v>
      </c>
      <c r="J36" s="21" t="str">
        <f>'LIVRE Oficial'!H35</f>
        <v>Melhoria</v>
      </c>
      <c r="K36" s="66" t="str">
        <f>'LIVRE Oficial'!L35</f>
        <v>OPORTUNIDADE | Desenvolver Exibição do Ano/Modelo na Oportunidade</v>
      </c>
      <c r="L36" s="29">
        <f>'LIVRE Oficial'!V35</f>
        <v>0</v>
      </c>
      <c r="M36" s="21">
        <f>'LIVRE Oficial'!U35</f>
        <v>0</v>
      </c>
      <c r="N36" s="21">
        <f>'LIVRE Oficial'!M35</f>
        <v>0</v>
      </c>
      <c r="O36" s="22"/>
      <c r="P36" s="22"/>
      <c r="Q36" s="20">
        <f>'LIVRE Oficial'!J35</f>
        <v>387493</v>
      </c>
      <c r="R36" s="73">
        <f>'LIVRE Oficial'!P35</f>
        <v>1</v>
      </c>
      <c r="S36" s="73">
        <f>'LIVRE Oficial'!Q35</f>
        <v>1</v>
      </c>
      <c r="T36" s="73">
        <f>'LIVRE Oficial'!R35</f>
        <v>1</v>
      </c>
      <c r="U36" s="20">
        <f>'LIVRE Oficial'!S35</f>
        <v>3</v>
      </c>
      <c r="V36" s="73">
        <f>'LIVRE Oficial'!K35</f>
        <v>20</v>
      </c>
      <c r="W36" s="1"/>
    </row>
    <row r="37" spans="2:23" ht="15.95">
      <c r="B37" s="18">
        <f>'LIVRE Oficial'!A35</f>
        <v>35</v>
      </c>
      <c r="C37" s="68">
        <f>'LIVRE Oficial'!B36</f>
        <v>46177</v>
      </c>
      <c r="D37" s="21" t="str">
        <f>'LIVRE Oficial'!C36</f>
        <v>Daniela Mochon</v>
      </c>
      <c r="E37" s="67" t="str">
        <f>'LIVRE Oficial'!D36</f>
        <v>Comercial</v>
      </c>
      <c r="F37" s="21" t="str">
        <f>'LIVRE Oficial'!E36</f>
        <v>M2604-10920</v>
      </c>
      <c r="G37" s="21" t="str">
        <f>'LIVRE Oficial'!I36</f>
        <v>Funil</v>
      </c>
      <c r="H37" s="35" t="str">
        <f>'LIVRE Oficial'!F36</f>
        <v>Entregue</v>
      </c>
      <c r="I37" s="71" t="str">
        <f>'LIVRE Oficial'!G36</f>
        <v> </v>
      </c>
      <c r="J37" s="21" t="str">
        <f>'LIVRE Oficial'!H36</f>
        <v>Melhoria</v>
      </c>
      <c r="K37" s="66" t="str">
        <f>'LIVRE Oficial'!L36</f>
        <v>LEAD | Melhoria no processo de Consulta SERASA + Log</v>
      </c>
      <c r="L37" s="29">
        <f>'LIVRE Oficial'!V36</f>
        <v>0</v>
      </c>
      <c r="M37" s="21">
        <f>'LIVRE Oficial'!U36</f>
        <v>0</v>
      </c>
      <c r="N37" s="21">
        <f>'LIVRE Oficial'!M36</f>
        <v>0</v>
      </c>
      <c r="O37" s="22"/>
      <c r="P37" s="22"/>
      <c r="Q37" s="20">
        <f>'LIVRE Oficial'!J36</f>
        <v>534334</v>
      </c>
      <c r="R37" s="73" t="str">
        <f>'LIVRE Oficial'!P36</f>
        <v> </v>
      </c>
      <c r="S37" s="73" t="str">
        <f>'LIVRE Oficial'!Q36</f>
        <v> </v>
      </c>
      <c r="T37" s="73" t="str">
        <f>'LIVRE Oficial'!R36</f>
        <v> </v>
      </c>
      <c r="U37" s="20" t="e">
        <f>'LIVRE Oficial'!S36</f>
        <v>#VALUE!</v>
      </c>
      <c r="V37" s="73" t="str">
        <f>'LIVRE Oficial'!K36</f>
        <v> </v>
      </c>
      <c r="W37" s="1"/>
    </row>
    <row r="38" spans="2:23" ht="15.95">
      <c r="B38" s="18">
        <f>'LIVRE Oficial'!A36</f>
        <v>36</v>
      </c>
      <c r="C38" s="68">
        <f>'LIVRE Oficial'!B37</f>
        <v>46205</v>
      </c>
      <c r="D38" s="21" t="str">
        <f>'LIVRE Oficial'!C37</f>
        <v>Daniela Mochon</v>
      </c>
      <c r="E38" s="67" t="str">
        <f>'LIVRE Oficial'!D37</f>
        <v>Comercial</v>
      </c>
      <c r="F38" s="21">
        <f>'LIVRE Oficial'!E37</f>
        <v>0</v>
      </c>
      <c r="G38" s="21" t="str">
        <f>'LIVRE Oficial'!I37</f>
        <v>Funil</v>
      </c>
      <c r="H38" s="35" t="str">
        <f>'LIVRE Oficial'!F37</f>
        <v>Entregue</v>
      </c>
      <c r="I38" s="71">
        <f>'LIVRE Oficial'!G37</f>
        <v>3</v>
      </c>
      <c r="J38" s="21" t="str">
        <f>'LIVRE Oficial'!H37</f>
        <v>Melhoria</v>
      </c>
      <c r="K38" s="66" t="str">
        <f>'LIVRE Oficial'!L37</f>
        <v>OPORTUNIDADE | Desenvolvimento de Subfases para oportunidades de Renovação</v>
      </c>
      <c r="L38" s="29">
        <f>'LIVRE Oficial'!V37</f>
        <v>0</v>
      </c>
      <c r="M38" s="21">
        <f>'LIVRE Oficial'!U37</f>
        <v>0</v>
      </c>
      <c r="N38" s="21">
        <f>'LIVRE Oficial'!M37</f>
        <v>0</v>
      </c>
      <c r="O38" s="22"/>
      <c r="P38" s="22"/>
      <c r="Q38" s="20">
        <f>'LIVRE Oficial'!J37</f>
        <v>394012</v>
      </c>
      <c r="R38" s="73">
        <f>'LIVRE Oficial'!P37</f>
        <v>3</v>
      </c>
      <c r="S38" s="73">
        <f>'LIVRE Oficial'!Q37</f>
        <v>3</v>
      </c>
      <c r="T38" s="73">
        <f>'LIVRE Oficial'!R37</f>
        <v>3</v>
      </c>
      <c r="U38" s="20">
        <f>'LIVRE Oficial'!S37</f>
        <v>9</v>
      </c>
      <c r="V38" s="73">
        <f>'LIVRE Oficial'!K37</f>
        <v>4</v>
      </c>
      <c r="W38" s="1"/>
    </row>
    <row r="39" spans="2:23" ht="15.95">
      <c r="B39" s="18">
        <f>'LIVRE Oficial'!A37</f>
        <v>37</v>
      </c>
      <c r="C39" s="68">
        <f>'LIVRE Oficial'!B38</f>
        <v>46115</v>
      </c>
      <c r="D39" s="21" t="str">
        <f>'LIVRE Oficial'!C38</f>
        <v>Daniela Mochon</v>
      </c>
      <c r="E39" s="67" t="str">
        <f>'LIVRE Oficial'!D38</f>
        <v>Comercial</v>
      </c>
      <c r="F39" s="21">
        <f>'LIVRE Oficial'!E38</f>
        <v>0</v>
      </c>
      <c r="G39" s="21" t="str">
        <f>'LIVRE Oficial'!I38</f>
        <v>Funil</v>
      </c>
      <c r="H39" s="35" t="str">
        <f>'LIVRE Oficial'!F38</f>
        <v>Entregue</v>
      </c>
      <c r="I39" s="71" t="str">
        <f>'LIVRE Oficial'!G38</f>
        <v> </v>
      </c>
      <c r="J39" s="21" t="str">
        <f>'LIVRE Oficial'!H38</f>
        <v>Melhoria</v>
      </c>
      <c r="K39" s="66" t="str">
        <f>'LIVRE Oficial'!L38</f>
        <v>OPORTUNIDADE | Desenvolver obrigatoriedade do Campo Subfase</v>
      </c>
      <c r="L39" s="29">
        <f>'LIVRE Oficial'!V38</f>
        <v>0</v>
      </c>
      <c r="M39" s="21">
        <f>'LIVRE Oficial'!U38</f>
        <v>0</v>
      </c>
      <c r="N39" s="21">
        <f>'LIVRE Oficial'!M38</f>
        <v>0</v>
      </c>
      <c r="O39" s="22"/>
      <c r="P39" s="22"/>
      <c r="Q39" s="20">
        <f>'LIVRE Oficial'!J38</f>
        <v>409101</v>
      </c>
      <c r="R39" s="73" t="str">
        <f>'LIVRE Oficial'!P38</f>
        <v> </v>
      </c>
      <c r="S39" s="73" t="str">
        <f>'LIVRE Oficial'!Q38</f>
        <v> </v>
      </c>
      <c r="T39" s="73" t="str">
        <f>'LIVRE Oficial'!R38</f>
        <v> </v>
      </c>
      <c r="U39" s="20" t="e">
        <f>'LIVRE Oficial'!S38</f>
        <v>#VALUE!</v>
      </c>
      <c r="V39" s="73" t="str">
        <f>'LIVRE Oficial'!K38</f>
        <v> </v>
      </c>
      <c r="W39" s="1"/>
    </row>
    <row r="40" spans="2:23" ht="15.95">
      <c r="B40" s="18">
        <f>'LIVRE Oficial'!A38</f>
        <v>38</v>
      </c>
      <c r="C40" s="68">
        <f>'LIVRE Oficial'!B39</f>
        <v>46329</v>
      </c>
      <c r="D40" s="21" t="str">
        <f>'LIVRE Oficial'!C39</f>
        <v>Daniela Mochon</v>
      </c>
      <c r="E40" s="67" t="str">
        <f>'LIVRE Oficial'!D39</f>
        <v>Comercial</v>
      </c>
      <c r="F40" s="21">
        <f>'LIVRE Oficial'!E39</f>
        <v>0</v>
      </c>
      <c r="G40" s="21" t="str">
        <f>'LIVRE Oficial'!I39</f>
        <v>Funil</v>
      </c>
      <c r="H40" s="35" t="str">
        <f>'LIVRE Oficial'!F39</f>
        <v>Entregue</v>
      </c>
      <c r="I40" s="71">
        <f>'LIVRE Oficial'!G39</f>
        <v>2</v>
      </c>
      <c r="J40" s="21" t="str">
        <f>'LIVRE Oficial'!H39</f>
        <v>Melhoria</v>
      </c>
      <c r="K40" s="66" t="str">
        <f>'LIVRE Oficial'!L39</f>
        <v>OPORTUNIDADE | Remover perfis do bloqueio de edição de campos na Oportunidade.</v>
      </c>
      <c r="L40" s="29">
        <f>'LIVRE Oficial'!V39</f>
        <v>0</v>
      </c>
      <c r="M40" s="21">
        <f>'LIVRE Oficial'!U39</f>
        <v>0</v>
      </c>
      <c r="N40" s="21">
        <f>'LIVRE Oficial'!M39</f>
        <v>0</v>
      </c>
      <c r="O40" s="22"/>
      <c r="P40" s="22"/>
      <c r="Q40" s="20">
        <f>'LIVRE Oficial'!J39</f>
        <v>417288</v>
      </c>
      <c r="R40" s="73">
        <f>'LIVRE Oficial'!P39</f>
        <v>3</v>
      </c>
      <c r="S40" s="73">
        <f>'LIVRE Oficial'!Q39</f>
        <v>3</v>
      </c>
      <c r="T40" s="73">
        <f>'LIVRE Oficial'!R39</f>
        <v>3</v>
      </c>
      <c r="U40" s="20">
        <f>'LIVRE Oficial'!S39</f>
        <v>9</v>
      </c>
      <c r="V40" s="73">
        <f>'LIVRE Oficial'!K39</f>
        <v>2</v>
      </c>
      <c r="W40" s="1"/>
    </row>
    <row r="41" spans="2:23" ht="15.95">
      <c r="B41" s="18">
        <f>'LIVRE Oficial'!A39</f>
        <v>39</v>
      </c>
      <c r="C41" s="68">
        <f>'LIVRE Oficial'!B40</f>
        <v>9488</v>
      </c>
      <c r="D41" s="21" t="str">
        <f>'LIVRE Oficial'!C40</f>
        <v>Pedro Henrique</v>
      </c>
      <c r="E41" s="67" t="str">
        <f>'LIVRE Oficial'!D40</f>
        <v>Comercial</v>
      </c>
      <c r="F41" s="21">
        <f>'LIVRE Oficial'!E40</f>
        <v>0</v>
      </c>
      <c r="G41" s="21" t="str">
        <f>'LIVRE Oficial'!I40</f>
        <v>Funil</v>
      </c>
      <c r="H41" s="35" t="str">
        <f>'LIVRE Oficial'!F40</f>
        <v>Entregue</v>
      </c>
      <c r="I41" s="71">
        <f>'LIVRE Oficial'!G40</f>
        <v>3</v>
      </c>
      <c r="J41" s="21" t="str">
        <f>'LIVRE Oficial'!H40</f>
        <v>Melhoria</v>
      </c>
      <c r="K41" s="66" t="str">
        <f>'LIVRE Oficial'!L40</f>
        <v>OPORTUNIDADE | Liberar para edição de Oportunidades (Stage e Motivo)</v>
      </c>
      <c r="L41" s="29">
        <f>'LIVRE Oficial'!V40</f>
        <v>0</v>
      </c>
      <c r="M41" s="21">
        <f>'LIVRE Oficial'!U40</f>
        <v>0</v>
      </c>
      <c r="N41" s="21">
        <f>'LIVRE Oficial'!M40</f>
        <v>0</v>
      </c>
      <c r="O41" s="22"/>
      <c r="P41" s="22"/>
      <c r="Q41" s="20">
        <f>'LIVRE Oficial'!J40</f>
        <v>383071</v>
      </c>
      <c r="R41" s="73">
        <f>'LIVRE Oficial'!P40</f>
        <v>3</v>
      </c>
      <c r="S41" s="73">
        <f>'LIVRE Oficial'!Q40</f>
        <v>3</v>
      </c>
      <c r="T41" s="73">
        <f>'LIVRE Oficial'!R40</f>
        <v>3</v>
      </c>
      <c r="U41" s="20">
        <f>'LIVRE Oficial'!S40</f>
        <v>9</v>
      </c>
      <c r="V41" s="73">
        <f>'LIVRE Oficial'!K40</f>
        <v>4</v>
      </c>
      <c r="W41" s="1"/>
    </row>
    <row r="42" spans="2:23" ht="15.95">
      <c r="B42" s="18">
        <f>'LIVRE Oficial'!A40</f>
        <v>40</v>
      </c>
      <c r="C42" s="68">
        <f>'LIVRE Oficial'!B41</f>
        <v>46205</v>
      </c>
      <c r="D42" s="21" t="str">
        <f>'LIVRE Oficial'!C41</f>
        <v>Daniela Mochon</v>
      </c>
      <c r="E42" s="67" t="str">
        <f>'LIVRE Oficial'!D41</f>
        <v>Comercial</v>
      </c>
      <c r="F42" s="21">
        <f>'LIVRE Oficial'!E41</f>
        <v>0</v>
      </c>
      <c r="G42" s="21" t="str">
        <f>'LIVRE Oficial'!I41</f>
        <v>Funil</v>
      </c>
      <c r="H42" s="35" t="str">
        <f>'LIVRE Oficial'!F41</f>
        <v>Entregue</v>
      </c>
      <c r="I42" s="71">
        <f>'LIVRE Oficial'!G41</f>
        <v>1</v>
      </c>
      <c r="J42" s="21" t="str">
        <f>'LIVRE Oficial'!H41</f>
        <v xml:space="preserve">BUG </v>
      </c>
      <c r="K42" s="66" t="str">
        <f>'LIVRE Oficial'!L41</f>
        <v>CONTRATO | Desenvolver remoção da trava de Cadastro SF x Assinatura</v>
      </c>
      <c r="L42" s="29">
        <f>'LIVRE Oficial'!V41</f>
        <v>0</v>
      </c>
      <c r="M42" s="21">
        <f>'LIVRE Oficial'!U41</f>
        <v>0</v>
      </c>
      <c r="N42" s="21">
        <f>'LIVRE Oficial'!M41</f>
        <v>0</v>
      </c>
      <c r="O42" s="22"/>
      <c r="P42" s="22"/>
      <c r="Q42" s="20">
        <f>'LIVRE Oficial'!J41</f>
        <v>394013</v>
      </c>
      <c r="R42" s="73">
        <f>'LIVRE Oficial'!P41</f>
        <v>2</v>
      </c>
      <c r="S42" s="73">
        <f>'LIVRE Oficial'!Q41</f>
        <v>1</v>
      </c>
      <c r="T42" s="73">
        <f>'LIVRE Oficial'!R41</f>
        <v>2</v>
      </c>
      <c r="U42" s="20">
        <f>'LIVRE Oficial'!S41</f>
        <v>5</v>
      </c>
      <c r="V42" s="73">
        <f>'LIVRE Oficial'!K41</f>
        <v>13</v>
      </c>
      <c r="W42" s="1"/>
    </row>
    <row r="43" spans="2:23" ht="15.95">
      <c r="B43" s="18">
        <f>'LIVRE Oficial'!A41</f>
        <v>41</v>
      </c>
      <c r="C43" s="68">
        <f>'LIVRE Oficial'!B42</f>
        <v>9574</v>
      </c>
      <c r="D43" s="21" t="str">
        <f>'LIVRE Oficial'!C42</f>
        <v>Monique Evelin</v>
      </c>
      <c r="E43" s="67" t="str">
        <f>'LIVRE Oficial'!D42</f>
        <v>Comercial</v>
      </c>
      <c r="F43" s="21">
        <f>'LIVRE Oficial'!E42</f>
        <v>0</v>
      </c>
      <c r="G43" s="21" t="str">
        <f>'LIVRE Oficial'!I42</f>
        <v>Funil</v>
      </c>
      <c r="H43" s="35" t="str">
        <f>'LIVRE Oficial'!F42</f>
        <v>Entregue</v>
      </c>
      <c r="I43" s="71">
        <f>'LIVRE Oficial'!G42</f>
        <v>3</v>
      </c>
      <c r="J43" s="21" t="str">
        <f>'LIVRE Oficial'!H42</f>
        <v>Melhoria</v>
      </c>
      <c r="K43" s="66" t="str">
        <f>'LIVRE Oficial'!L42</f>
        <v>CONTRATO | Integração com Plataforma de Crédito "Tipo de Contrato"</v>
      </c>
      <c r="L43" s="29">
        <f>'LIVRE Oficial'!V42</f>
        <v>0</v>
      </c>
      <c r="M43" s="21">
        <f>'LIVRE Oficial'!U42</f>
        <v>0</v>
      </c>
      <c r="N43" s="21">
        <f>'LIVRE Oficial'!M42</f>
        <v>0</v>
      </c>
      <c r="O43" s="22"/>
      <c r="P43" s="22"/>
      <c r="Q43" s="20">
        <f>'LIVRE Oficial'!J42</f>
        <v>457607</v>
      </c>
      <c r="R43" s="73">
        <f>'LIVRE Oficial'!P42</f>
        <v>3</v>
      </c>
      <c r="S43" s="73">
        <f>'LIVRE Oficial'!Q42</f>
        <v>2</v>
      </c>
      <c r="T43" s="73">
        <f>'LIVRE Oficial'!R42</f>
        <v>2</v>
      </c>
      <c r="U43" s="20">
        <f>'LIVRE Oficial'!S42</f>
        <v>7</v>
      </c>
      <c r="V43" s="73">
        <f>'LIVRE Oficial'!K42</f>
        <v>10</v>
      </c>
      <c r="W43" s="1"/>
    </row>
    <row r="44" spans="2:23" ht="15.95">
      <c r="B44" s="18">
        <f>'LIVRE Oficial'!A42</f>
        <v>42</v>
      </c>
      <c r="C44" s="68">
        <f>'LIVRE Oficial'!B43</f>
        <v>46359</v>
      </c>
      <c r="D44" s="21" t="str">
        <f>'LIVRE Oficial'!C43</f>
        <v>Pedro Henrique</v>
      </c>
      <c r="E44" s="67" t="str">
        <f>'LIVRE Oficial'!D43</f>
        <v>Comercial</v>
      </c>
      <c r="F44" s="21">
        <f>'LIVRE Oficial'!E43</f>
        <v>0</v>
      </c>
      <c r="G44" s="21" t="str">
        <f>'LIVRE Oficial'!I43</f>
        <v>Funil</v>
      </c>
      <c r="H44" s="35" t="str">
        <f>'LIVRE Oficial'!F43</f>
        <v>Entregue</v>
      </c>
      <c r="I44" s="71">
        <f>'LIVRE Oficial'!G43</f>
        <v>1</v>
      </c>
      <c r="J44" s="21" t="str">
        <f>'LIVRE Oficial'!H43</f>
        <v>Melhoria</v>
      </c>
      <c r="K44" s="66" t="str">
        <f>'LIVRE Oficial'!L43</f>
        <v>CONTRATO | Desenvolver JOB para que apenas 5 tipos de contratos gerem a Renovação</v>
      </c>
      <c r="L44" s="29">
        <f>'LIVRE Oficial'!V43</f>
        <v>0</v>
      </c>
      <c r="M44" s="21">
        <f>'LIVRE Oficial'!U43</f>
        <v>0</v>
      </c>
      <c r="N44" s="21">
        <f>'LIVRE Oficial'!M43</f>
        <v>0</v>
      </c>
      <c r="O44" s="22"/>
      <c r="P44" s="22"/>
      <c r="Q44" s="20">
        <f>'LIVRE Oficial'!J43</f>
        <v>428396</v>
      </c>
      <c r="R44" s="73">
        <f>'LIVRE Oficial'!P43</f>
        <v>1</v>
      </c>
      <c r="S44" s="73">
        <f>'LIVRE Oficial'!Q43</f>
        <v>1</v>
      </c>
      <c r="T44" s="73">
        <f>'LIVRE Oficial'!R43</f>
        <v>1</v>
      </c>
      <c r="U44" s="20">
        <f>'LIVRE Oficial'!S43</f>
        <v>3</v>
      </c>
      <c r="V44" s="73">
        <f>'LIVRE Oficial'!K43</f>
        <v>19</v>
      </c>
      <c r="W44" s="1"/>
    </row>
    <row r="45" spans="2:23" ht="15.95">
      <c r="B45" s="18">
        <f>'LIVRE Oficial'!A43</f>
        <v>43</v>
      </c>
      <c r="C45" s="68">
        <f>'LIVRE Oficial'!B44</f>
        <v>9551</v>
      </c>
      <c r="D45" s="21" t="str">
        <f>'LIVRE Oficial'!C44</f>
        <v>Pedro Henrique</v>
      </c>
      <c r="E45" s="67" t="str">
        <f>'LIVRE Oficial'!D44</f>
        <v>Comercial</v>
      </c>
      <c r="F45" s="21">
        <f>'LIVRE Oficial'!E44</f>
        <v>0</v>
      </c>
      <c r="G45" s="21" t="str">
        <f>'LIVRE Oficial'!I44</f>
        <v>Funil</v>
      </c>
      <c r="H45" s="35" t="str">
        <f>'LIVRE Oficial'!F44</f>
        <v>Entregue</v>
      </c>
      <c r="I45" s="71" t="str">
        <f>'LIVRE Oficial'!G44</f>
        <v> </v>
      </c>
      <c r="J45" s="21" t="str">
        <f>'LIVRE Oficial'!H44</f>
        <v xml:space="preserve">BUG </v>
      </c>
      <c r="K45" s="66" t="str">
        <f>'LIVRE Oficial'!L44</f>
        <v>OPORTUNIDADE | Desenvolver correção Motivo de Perda (Fechado Perdido)</v>
      </c>
      <c r="L45" s="29">
        <f>'LIVRE Oficial'!V44</f>
        <v>0</v>
      </c>
      <c r="M45" s="21">
        <f>'LIVRE Oficial'!U44</f>
        <v>0</v>
      </c>
      <c r="N45" s="21">
        <f>'LIVRE Oficial'!M44</f>
        <v>0</v>
      </c>
      <c r="O45" s="22"/>
      <c r="P45" s="22"/>
      <c r="Q45" s="20">
        <f>'LIVRE Oficial'!J44</f>
        <v>397404</v>
      </c>
      <c r="R45" s="73" t="str">
        <f>'LIVRE Oficial'!P44</f>
        <v> </v>
      </c>
      <c r="S45" s="73" t="str">
        <f>'LIVRE Oficial'!Q44</f>
        <v> </v>
      </c>
      <c r="T45" s="73" t="str">
        <f>'LIVRE Oficial'!R44</f>
        <v> </v>
      </c>
      <c r="U45" s="20" t="e">
        <f>'LIVRE Oficial'!S44</f>
        <v>#VALUE!</v>
      </c>
      <c r="V45" s="73" t="str">
        <f>'LIVRE Oficial'!K44</f>
        <v> </v>
      </c>
      <c r="W45" s="1"/>
    </row>
    <row r="46" spans="2:23" ht="15.95">
      <c r="B46" s="18">
        <f>'LIVRE Oficial'!A44</f>
        <v>44</v>
      </c>
      <c r="C46" s="68">
        <f>'LIVRE Oficial'!B45</f>
        <v>9453</v>
      </c>
      <c r="D46" s="21" t="str">
        <f>'LIVRE Oficial'!C45</f>
        <v>Aline Lucia Zarnicinski</v>
      </c>
      <c r="E46" s="67" t="str">
        <f>'LIVRE Oficial'!D45</f>
        <v>Comercial</v>
      </c>
      <c r="F46" s="21">
        <f>'LIVRE Oficial'!E45</f>
        <v>0</v>
      </c>
      <c r="G46" s="21" t="str">
        <f>'LIVRE Oficial'!I45</f>
        <v>Funil</v>
      </c>
      <c r="H46" s="35" t="str">
        <f>'LIVRE Oficial'!F45</f>
        <v>Entregue</v>
      </c>
      <c r="I46" s="71" t="str">
        <f>'LIVRE Oficial'!G45</f>
        <v> </v>
      </c>
      <c r="J46" s="21" t="str">
        <f>'LIVRE Oficial'!H45</f>
        <v>Melhoria</v>
      </c>
      <c r="K46" s="66" t="str">
        <f>'LIVRE Oficial'!L45</f>
        <v>INTEGRAÇÃO | Adequações de Informações Enviadas ao SAP Commissions (Projeto SAPCOM – Nova Política)</v>
      </c>
      <c r="L46" s="29">
        <f>'LIVRE Oficial'!V45</f>
        <v>0</v>
      </c>
      <c r="M46" s="21">
        <f>'LIVRE Oficial'!U45</f>
        <v>0</v>
      </c>
      <c r="N46" s="21">
        <f>'LIVRE Oficial'!M45</f>
        <v>0</v>
      </c>
      <c r="O46" s="22"/>
      <c r="P46" s="22"/>
      <c r="Q46" s="20">
        <f>'LIVRE Oficial'!J45</f>
        <v>370939</v>
      </c>
      <c r="R46" s="73" t="str">
        <f>'LIVRE Oficial'!P45</f>
        <v> </v>
      </c>
      <c r="S46" s="73" t="str">
        <f>'LIVRE Oficial'!Q45</f>
        <v> </v>
      </c>
      <c r="T46" s="73" t="str">
        <f>'LIVRE Oficial'!R45</f>
        <v> </v>
      </c>
      <c r="U46" s="20" t="e">
        <f>'LIVRE Oficial'!S45</f>
        <v>#VALUE!</v>
      </c>
      <c r="V46" s="73" t="str">
        <f>'LIVRE Oficial'!K45</f>
        <v> </v>
      </c>
      <c r="W46" s="1"/>
    </row>
    <row r="47" spans="2:23" ht="15.95">
      <c r="B47" s="18">
        <f>'LIVRE Oficial'!A45</f>
        <v>45</v>
      </c>
      <c r="C47" s="68">
        <f>'LIVRE Oficial'!B46</f>
        <v>9513</v>
      </c>
      <c r="D47" s="21" t="str">
        <f>'LIVRE Oficial'!C46</f>
        <v>Daniela Mochon</v>
      </c>
      <c r="E47" s="67" t="str">
        <f>'LIVRE Oficial'!D46</f>
        <v>Comercial</v>
      </c>
      <c r="F47" s="21">
        <f>'LIVRE Oficial'!E46</f>
        <v>0</v>
      </c>
      <c r="G47" s="21" t="str">
        <f>'LIVRE Oficial'!I46</f>
        <v>Funil</v>
      </c>
      <c r="H47" s="35" t="str">
        <f>'LIVRE Oficial'!F46</f>
        <v>Entregue</v>
      </c>
      <c r="I47" s="71">
        <f>'LIVRE Oficial'!G46</f>
        <v>3</v>
      </c>
      <c r="J47" s="21" t="str">
        <f>'LIVRE Oficial'!H46</f>
        <v>Melhoria</v>
      </c>
      <c r="K47" s="66" t="str">
        <f>'LIVRE Oficial'!L46</f>
        <v>LEAD | Desenvolver Reencaminhamento de Leads “Lost” para SDR com Validação por Cidade</v>
      </c>
      <c r="L47" s="29">
        <f>'LIVRE Oficial'!V46</f>
        <v>0</v>
      </c>
      <c r="M47" s="21">
        <f>'LIVRE Oficial'!U46</f>
        <v>0</v>
      </c>
      <c r="N47" s="21">
        <f>'LIVRE Oficial'!M46</f>
        <v>0</v>
      </c>
      <c r="O47" s="22"/>
      <c r="P47" s="22"/>
      <c r="Q47" s="20">
        <f>'LIVRE Oficial'!J46</f>
        <v>388244</v>
      </c>
      <c r="R47" s="73">
        <f>'LIVRE Oficial'!P46</f>
        <v>3</v>
      </c>
      <c r="S47" s="73">
        <f>'LIVRE Oficial'!Q46</f>
        <v>3</v>
      </c>
      <c r="T47" s="73">
        <f>'LIVRE Oficial'!R46</f>
        <v>3</v>
      </c>
      <c r="U47" s="20">
        <f>'LIVRE Oficial'!S46</f>
        <v>9</v>
      </c>
      <c r="V47" s="73">
        <f>'LIVRE Oficial'!K46</f>
        <v>5</v>
      </c>
      <c r="W47" s="1"/>
    </row>
    <row r="48" spans="2:23" ht="15.95">
      <c r="B48" s="18">
        <f>'LIVRE Oficial'!A46</f>
        <v>46</v>
      </c>
      <c r="C48" s="68">
        <f>'LIVRE Oficial'!B47</f>
        <v>45700</v>
      </c>
      <c r="D48" s="21" t="str">
        <f>'LIVRE Oficial'!C47</f>
        <v>Daniela Mochon</v>
      </c>
      <c r="E48" s="67" t="str">
        <f>'LIVRE Oficial'!D47</f>
        <v>Comercial</v>
      </c>
      <c r="F48" s="21">
        <f>'LIVRE Oficial'!E47</f>
        <v>0</v>
      </c>
      <c r="G48" s="21" t="str">
        <f>'LIVRE Oficial'!I47</f>
        <v>Funil</v>
      </c>
      <c r="H48" s="35" t="str">
        <f>'LIVRE Oficial'!F47</f>
        <v>Entregue</v>
      </c>
      <c r="I48" s="71" t="str">
        <f>'LIVRE Oficial'!G47</f>
        <v> </v>
      </c>
      <c r="J48" s="21" t="str">
        <f>'LIVRE Oficial'!H47</f>
        <v>Melhoria</v>
      </c>
      <c r="K48" s="66" t="str">
        <f>'LIVRE Oficial'!L47</f>
        <v>OPORTUNIDADE | Preenchimento de Informações do LEAD (Vendedor / Revendedor / Gestor / Venda)</v>
      </c>
      <c r="L48" s="29">
        <f>'LIVRE Oficial'!V47</f>
        <v>0</v>
      </c>
      <c r="M48" s="21">
        <f>'LIVRE Oficial'!U47</f>
        <v>0</v>
      </c>
      <c r="N48" s="21">
        <f>'LIVRE Oficial'!M47</f>
        <v>0</v>
      </c>
      <c r="O48" s="22"/>
      <c r="P48" s="22"/>
      <c r="Q48" s="20">
        <f>'LIVRE Oficial'!J47</f>
        <v>376474</v>
      </c>
      <c r="R48" s="73" t="str">
        <f>'LIVRE Oficial'!P47</f>
        <v> </v>
      </c>
      <c r="S48" s="73" t="str">
        <f>'LIVRE Oficial'!Q47</f>
        <v> </v>
      </c>
      <c r="T48" s="73" t="str">
        <f>'LIVRE Oficial'!R47</f>
        <v> </v>
      </c>
      <c r="U48" s="20" t="e">
        <f>'LIVRE Oficial'!S47</f>
        <v>#VALUE!</v>
      </c>
      <c r="V48" s="73" t="str">
        <f>'LIVRE Oficial'!K47</f>
        <v> </v>
      </c>
      <c r="W48" s="1"/>
    </row>
    <row r="49" spans="2:23" ht="15.95">
      <c r="B49" s="18">
        <f>'LIVRE Oficial'!A47</f>
        <v>47</v>
      </c>
      <c r="C49" s="68">
        <f>'LIVRE Oficial'!B48</f>
        <v>9569</v>
      </c>
      <c r="D49" s="21" t="str">
        <f>'LIVRE Oficial'!C48</f>
        <v>Daniela Mochon</v>
      </c>
      <c r="E49" s="67" t="str">
        <f>'LIVRE Oficial'!D48</f>
        <v>Comercial</v>
      </c>
      <c r="F49" s="21">
        <f>'LIVRE Oficial'!E48</f>
        <v>0</v>
      </c>
      <c r="G49" s="21" t="str">
        <f>'LIVRE Oficial'!I48</f>
        <v>Funil</v>
      </c>
      <c r="H49" s="35" t="str">
        <f>'LIVRE Oficial'!F48</f>
        <v>Entregue</v>
      </c>
      <c r="I49" s="71">
        <f>'LIVRE Oficial'!G48</f>
        <v>3</v>
      </c>
      <c r="J49" s="21" t="str">
        <f>'LIVRE Oficial'!H48</f>
        <v xml:space="preserve">BUG </v>
      </c>
      <c r="K49" s="66" t="str">
        <f>'LIVRE Oficial'!L48</f>
        <v>LEAD | Investigar falha na conversão automática de Lead</v>
      </c>
      <c r="L49" s="29">
        <f>'LIVRE Oficial'!V48</f>
        <v>0</v>
      </c>
      <c r="M49" s="21">
        <f>'LIVRE Oficial'!U48</f>
        <v>0</v>
      </c>
      <c r="N49" s="21">
        <f>'LIVRE Oficial'!M48</f>
        <v>0</v>
      </c>
      <c r="O49" s="22"/>
      <c r="P49" s="22"/>
      <c r="Q49" s="20">
        <f>'LIVRE Oficial'!J48</f>
        <v>434664</v>
      </c>
      <c r="R49" s="73">
        <f>'LIVRE Oficial'!P48</f>
        <v>3</v>
      </c>
      <c r="S49" s="73">
        <f>'LIVRE Oficial'!Q48</f>
        <v>2</v>
      </c>
      <c r="T49" s="73">
        <f>'LIVRE Oficial'!R48</f>
        <v>2</v>
      </c>
      <c r="U49" s="20">
        <f>'LIVRE Oficial'!S48</f>
        <v>7</v>
      </c>
      <c r="V49" s="73">
        <f>'LIVRE Oficial'!K48</f>
        <v>10</v>
      </c>
      <c r="W49" s="1"/>
    </row>
    <row r="50" spans="2:23" ht="15.95">
      <c r="B50" s="18">
        <f>'LIVRE Oficial'!A48</f>
        <v>48</v>
      </c>
      <c r="C50" s="68">
        <f>'LIVRE Oficial'!B49</f>
        <v>9554</v>
      </c>
      <c r="D50" s="21" t="str">
        <f>'LIVRE Oficial'!C49</f>
        <v>Cibele Thais</v>
      </c>
      <c r="E50" s="67" t="str">
        <f>'LIVRE Oficial'!D49</f>
        <v>Comercial</v>
      </c>
      <c r="F50" s="21" t="str">
        <f>'LIVRE Oficial'!E49</f>
        <v>C2602-34943</v>
      </c>
      <c r="G50" s="21" t="str">
        <f>'LIVRE Oficial'!I49</f>
        <v>Funil</v>
      </c>
      <c r="H50" s="35" t="str">
        <f>'LIVRE Oficial'!F49</f>
        <v>Entregue</v>
      </c>
      <c r="I50" s="71">
        <f>'LIVRE Oficial'!G49</f>
        <v>1</v>
      </c>
      <c r="J50" s="21" t="str">
        <f>'LIVRE Oficial'!H49</f>
        <v xml:space="preserve">BUG </v>
      </c>
      <c r="K50" s="66" t="str">
        <f>'LIVRE Oficial'!L49</f>
        <v>OPORTUNIDADE - Desenvolver correção de mudança indevida do status da Oportunidade</v>
      </c>
      <c r="L50" s="29">
        <f>'LIVRE Oficial'!V49</f>
        <v>0</v>
      </c>
      <c r="M50" s="21">
        <f>'LIVRE Oficial'!U49</f>
        <v>0</v>
      </c>
      <c r="N50" s="21">
        <f>'LIVRE Oficial'!M49</f>
        <v>0</v>
      </c>
      <c r="O50" s="22"/>
      <c r="P50" s="22"/>
      <c r="Q50" s="20">
        <f>'LIVRE Oficial'!J49</f>
        <v>398780</v>
      </c>
      <c r="R50" s="73">
        <f>'LIVRE Oficial'!P49</f>
        <v>3</v>
      </c>
      <c r="S50" s="73">
        <f>'LIVRE Oficial'!Q49</f>
        <v>2</v>
      </c>
      <c r="T50" s="73">
        <f>'LIVRE Oficial'!R49</f>
        <v>2</v>
      </c>
      <c r="U50" s="20">
        <f>'LIVRE Oficial'!S49</f>
        <v>7</v>
      </c>
      <c r="V50" s="73">
        <f>'LIVRE Oficial'!K49</f>
        <v>0</v>
      </c>
      <c r="W50" s="1"/>
    </row>
    <row r="51" spans="2:23" ht="15.95">
      <c r="B51" s="18">
        <f>'LIVRE Oficial'!A49</f>
        <v>49</v>
      </c>
      <c r="C51" s="68">
        <f>'LIVRE Oficial'!B50</f>
        <v>9551</v>
      </c>
      <c r="D51" s="21" t="str">
        <f>'LIVRE Oficial'!C50</f>
        <v>Proativo</v>
      </c>
      <c r="E51" s="67" t="str">
        <f>'LIVRE Oficial'!D50</f>
        <v>Funil</v>
      </c>
      <c r="F51" s="21">
        <f>'LIVRE Oficial'!E50</f>
        <v>0</v>
      </c>
      <c r="G51" s="21" t="str">
        <f>'LIVRE Oficial'!I50</f>
        <v>Funil</v>
      </c>
      <c r="H51" s="35" t="str">
        <f>'LIVRE Oficial'!F50</f>
        <v>Entregue</v>
      </c>
      <c r="I51" s="71" t="str">
        <f>'LIVRE Oficial'!G50</f>
        <v> </v>
      </c>
      <c r="J51" s="21" t="str">
        <f>'LIVRE Oficial'!H50</f>
        <v xml:space="preserve">BUG </v>
      </c>
      <c r="K51" s="66" t="str">
        <f>'LIVRE Oficial'!L50</f>
        <v>ACCOUNT | Desenvolver bloqueio na trigger quando o tipo de registro da Conta for Empresa</v>
      </c>
      <c r="L51" s="29">
        <f>'LIVRE Oficial'!V50</f>
        <v>0</v>
      </c>
      <c r="M51" s="21">
        <f>'LIVRE Oficial'!U50</f>
        <v>0</v>
      </c>
      <c r="N51" s="21">
        <f>'LIVRE Oficial'!M50</f>
        <v>0</v>
      </c>
      <c r="O51" s="22"/>
      <c r="P51" s="22"/>
      <c r="Q51" s="20">
        <f>'LIVRE Oficial'!J50</f>
        <v>397308</v>
      </c>
      <c r="R51" s="73" t="str">
        <f>'LIVRE Oficial'!P50</f>
        <v> </v>
      </c>
      <c r="S51" s="73" t="str">
        <f>'LIVRE Oficial'!Q50</f>
        <v> </v>
      </c>
      <c r="T51" s="73" t="str">
        <f>'LIVRE Oficial'!R50</f>
        <v> </v>
      </c>
      <c r="U51" s="20" t="e">
        <f>'LIVRE Oficial'!S50</f>
        <v>#VALUE!</v>
      </c>
      <c r="V51" s="73" t="str">
        <f>'LIVRE Oficial'!K50</f>
        <v> </v>
      </c>
      <c r="W51" s="1"/>
    </row>
    <row r="52" spans="2:23" ht="15.95">
      <c r="B52" s="18">
        <f>'LIVRE Oficial'!A50</f>
        <v>50</v>
      </c>
      <c r="C52" s="68">
        <f>'LIVRE Oficial'!B51</f>
        <v>46359</v>
      </c>
      <c r="D52" s="21" t="str">
        <f>'LIVRE Oficial'!C51</f>
        <v>Proativo</v>
      </c>
      <c r="E52" s="67" t="str">
        <f>'LIVRE Oficial'!D51</f>
        <v>Funil</v>
      </c>
      <c r="F52" s="21">
        <f>'LIVRE Oficial'!E51</f>
        <v>0</v>
      </c>
      <c r="G52" s="21" t="str">
        <f>'LIVRE Oficial'!I51</f>
        <v>Funil</v>
      </c>
      <c r="H52" s="35" t="str">
        <f>'LIVRE Oficial'!F51</f>
        <v>Entregue</v>
      </c>
      <c r="I52" s="71" t="str">
        <f>'LIVRE Oficial'!G51</f>
        <v> </v>
      </c>
      <c r="J52" s="21" t="str">
        <f>'LIVRE Oficial'!H51</f>
        <v xml:space="preserve">BUG </v>
      </c>
      <c r="K52" s="66" t="str">
        <f>'LIVRE Oficial'!L51</f>
        <v>OPORTUNIDADE | Liberar a visualização do campo "Cadastro sincronizado SAP e Locavia" para o Perfil Atendimento Livre</v>
      </c>
      <c r="L52" s="29">
        <f>'LIVRE Oficial'!V51</f>
        <v>0</v>
      </c>
      <c r="M52" s="21">
        <f>'LIVRE Oficial'!U51</f>
        <v>0</v>
      </c>
      <c r="N52" s="21">
        <f>'LIVRE Oficial'!M51</f>
        <v>0</v>
      </c>
      <c r="O52" s="22"/>
      <c r="P52" s="22"/>
      <c r="Q52" s="20">
        <f>'LIVRE Oficial'!J51</f>
        <v>422745</v>
      </c>
      <c r="R52" s="73" t="str">
        <f>'LIVRE Oficial'!P51</f>
        <v> </v>
      </c>
      <c r="S52" s="73" t="str">
        <f>'LIVRE Oficial'!Q51</f>
        <v> </v>
      </c>
      <c r="T52" s="73" t="str">
        <f>'LIVRE Oficial'!R51</f>
        <v> </v>
      </c>
      <c r="U52" s="20" t="e">
        <f>'LIVRE Oficial'!S51</f>
        <v>#VALUE!</v>
      </c>
      <c r="V52" s="73" t="str">
        <f>'LIVRE Oficial'!K51</f>
        <v> </v>
      </c>
      <c r="W52" s="1"/>
    </row>
    <row r="53" spans="2:23" ht="15.95">
      <c r="B53" s="18">
        <f>'LIVRE Oficial'!A51</f>
        <v>51</v>
      </c>
      <c r="C53" s="68">
        <f>'LIVRE Oficial'!B52</f>
        <v>46143</v>
      </c>
      <c r="D53" s="21" t="str">
        <f>'LIVRE Oficial'!C52</f>
        <v>Proativo</v>
      </c>
      <c r="E53" s="67" t="str">
        <f>'LIVRE Oficial'!D52</f>
        <v>Funil</v>
      </c>
      <c r="F53" s="21">
        <f>'LIVRE Oficial'!E52</f>
        <v>0</v>
      </c>
      <c r="G53" s="21" t="str">
        <f>'LIVRE Oficial'!I52</f>
        <v>Funil</v>
      </c>
      <c r="H53" s="35" t="str">
        <f>'LIVRE Oficial'!F52</f>
        <v>Entregue</v>
      </c>
      <c r="I53" s="71">
        <f>'LIVRE Oficial'!G52</f>
        <v>1</v>
      </c>
      <c r="J53" s="21" t="str">
        <f>'LIVRE Oficial'!H52</f>
        <v xml:space="preserve">BUG </v>
      </c>
      <c r="K53" s="66" t="str">
        <f>'LIVRE Oficial'!L52</f>
        <v>OPORTUNIDADE | Correção de Cancelamento de Crédito e Validação de Múltiplas Chamadas</v>
      </c>
      <c r="L53" s="29">
        <f>'LIVRE Oficial'!V52</f>
        <v>0</v>
      </c>
      <c r="M53" s="21">
        <f>'LIVRE Oficial'!U52</f>
        <v>0</v>
      </c>
      <c r="N53" s="21">
        <f>'LIVRE Oficial'!M52</f>
        <v>0</v>
      </c>
      <c r="O53" s="22"/>
      <c r="P53" s="22"/>
      <c r="Q53" s="20">
        <f>'LIVRE Oficial'!J52</f>
        <v>385296</v>
      </c>
      <c r="R53" s="73">
        <f>'LIVRE Oficial'!P52</f>
        <v>3</v>
      </c>
      <c r="S53" s="73">
        <f>'LIVRE Oficial'!Q52</f>
        <v>2</v>
      </c>
      <c r="T53" s="73">
        <f>'LIVRE Oficial'!R52</f>
        <v>2</v>
      </c>
      <c r="U53" s="20">
        <f>'LIVRE Oficial'!S52</f>
        <v>7</v>
      </c>
      <c r="V53" s="73">
        <f>'LIVRE Oficial'!K52</f>
        <v>0</v>
      </c>
      <c r="W53" s="1"/>
    </row>
    <row r="54" spans="2:23" ht="15.95">
      <c r="B54" s="18">
        <f>'LIVRE Oficial'!A52</f>
        <v>52</v>
      </c>
      <c r="C54" s="68">
        <f>'LIVRE Oficial'!B53</f>
        <v>9511</v>
      </c>
      <c r="D54" s="21" t="str">
        <f>'LIVRE Oficial'!C53</f>
        <v>Proativo</v>
      </c>
      <c r="E54" s="67" t="str">
        <f>'LIVRE Oficial'!D53</f>
        <v>Funil</v>
      </c>
      <c r="F54" s="21">
        <f>'LIVRE Oficial'!E53</f>
        <v>0</v>
      </c>
      <c r="G54" s="21" t="str">
        <f>'LIVRE Oficial'!I53</f>
        <v>Funil</v>
      </c>
      <c r="H54" s="35" t="str">
        <f>'LIVRE Oficial'!F53</f>
        <v>Entregue</v>
      </c>
      <c r="I54" s="71">
        <f>'LIVRE Oficial'!G53</f>
        <v>1</v>
      </c>
      <c r="J54" s="21" t="str">
        <f>'LIVRE Oficial'!H53</f>
        <v>Melhoria</v>
      </c>
      <c r="K54" s="66" t="str">
        <f>'LIVRE Oficial'!L53</f>
        <v>LEAD | Desenvolver Padronização do Cadastro de Cidades Atendidas pela UNIDAS</v>
      </c>
      <c r="L54" s="29">
        <f>'LIVRE Oficial'!V53</f>
        <v>0</v>
      </c>
      <c r="M54" s="21">
        <f>'LIVRE Oficial'!U53</f>
        <v>0</v>
      </c>
      <c r="N54" s="21">
        <f>'LIVRE Oficial'!M53</f>
        <v>0</v>
      </c>
      <c r="O54" s="22"/>
      <c r="P54" s="22"/>
      <c r="Q54" s="20">
        <f>'LIVRE Oficial'!J53</f>
        <v>387519</v>
      </c>
      <c r="R54" s="73">
        <f>'LIVRE Oficial'!P53</f>
        <v>1</v>
      </c>
      <c r="S54" s="73">
        <f>'LIVRE Oficial'!Q53</f>
        <v>1</v>
      </c>
      <c r="T54" s="73">
        <f>'LIVRE Oficial'!R53</f>
        <v>1</v>
      </c>
      <c r="U54" s="20">
        <f>'LIVRE Oficial'!S53</f>
        <v>3</v>
      </c>
      <c r="V54" s="73">
        <f>'LIVRE Oficial'!K53</f>
        <v>17</v>
      </c>
      <c r="W54" s="1"/>
    </row>
    <row r="55" spans="2:23" ht="15.95">
      <c r="B55" s="18">
        <f>'LIVRE Oficial'!A53</f>
        <v>53</v>
      </c>
      <c r="C55" s="68">
        <f>'LIVRE Oficial'!B54</f>
        <v>46297</v>
      </c>
      <c r="D55" s="21" t="str">
        <f>'LIVRE Oficial'!C54</f>
        <v>Proativo</v>
      </c>
      <c r="E55" s="67" t="str">
        <f>'LIVRE Oficial'!D54</f>
        <v>Funil</v>
      </c>
      <c r="F55" s="21">
        <f>'LIVRE Oficial'!E54</f>
        <v>0</v>
      </c>
      <c r="G55" s="21" t="str">
        <f>'LIVRE Oficial'!I54</f>
        <v>Funil</v>
      </c>
      <c r="H55" s="35" t="str">
        <f>'LIVRE Oficial'!F54</f>
        <v>Entregue</v>
      </c>
      <c r="I55" s="71" t="str">
        <f>'LIVRE Oficial'!G54</f>
        <v> </v>
      </c>
      <c r="J55" s="21" t="str">
        <f>'LIVRE Oficial'!H54</f>
        <v>Melhoria</v>
      </c>
      <c r="K55" s="66" t="str">
        <f>'LIVRE Oficial'!L54</f>
        <v>OPORTUNIDADE | Atualização e inclusão de motivos no campo “Motivo Fechado Perdido”</v>
      </c>
      <c r="L55" s="29">
        <f>'LIVRE Oficial'!V54</f>
        <v>0</v>
      </c>
      <c r="M55" s="21">
        <f>'LIVRE Oficial'!U54</f>
        <v>0</v>
      </c>
      <c r="N55" s="21">
        <f>'LIVRE Oficial'!M54</f>
        <v>0</v>
      </c>
      <c r="O55" s="22"/>
      <c r="P55" s="22"/>
      <c r="Q55" s="20">
        <f>'LIVRE Oficial'!J54</f>
        <v>394897</v>
      </c>
      <c r="R55" s="73" t="str">
        <f>'LIVRE Oficial'!P54</f>
        <v> </v>
      </c>
      <c r="S55" s="73" t="str">
        <f>'LIVRE Oficial'!Q54</f>
        <v> </v>
      </c>
      <c r="T55" s="73" t="str">
        <f>'LIVRE Oficial'!R54</f>
        <v> </v>
      </c>
      <c r="U55" s="20" t="e">
        <f>'LIVRE Oficial'!S54</f>
        <v>#VALUE!</v>
      </c>
      <c r="V55" s="73" t="str">
        <f>'LIVRE Oficial'!K54</f>
        <v> </v>
      </c>
      <c r="W55" s="1"/>
    </row>
    <row r="56" spans="2:23" ht="15.95">
      <c r="B56" s="18">
        <f>'LIVRE Oficial'!A54</f>
        <v>54</v>
      </c>
      <c r="C56" s="68">
        <f>'LIVRE Oficial'!B55</f>
        <v>46114</v>
      </c>
      <c r="D56" s="21" t="str">
        <f>'LIVRE Oficial'!C55</f>
        <v>Daniela Mochon</v>
      </c>
      <c r="E56" s="67" t="str">
        <f>'LIVRE Oficial'!D55</f>
        <v>Comercial</v>
      </c>
      <c r="F56" s="21">
        <f>'LIVRE Oficial'!E55</f>
        <v>0</v>
      </c>
      <c r="G56" s="21" t="str">
        <f>'LIVRE Oficial'!I55</f>
        <v>Funil</v>
      </c>
      <c r="H56" s="35" t="str">
        <f>'LIVRE Oficial'!F55</f>
        <v>Entregue</v>
      </c>
      <c r="I56" s="71">
        <f>'LIVRE Oficial'!G55</f>
        <v>2</v>
      </c>
      <c r="J56" s="21" t="str">
        <f>'LIVRE Oficial'!H55</f>
        <v>Melhoria</v>
      </c>
      <c r="K56" s="66" t="str">
        <f>'LIVRE Oficial'!L55</f>
        <v>RENOVAÇÃO | Desenvolver Integração de Pedidos de Renovação com Locavia</v>
      </c>
      <c r="L56" s="29">
        <f>'LIVRE Oficial'!V55</f>
        <v>0</v>
      </c>
      <c r="M56" s="21">
        <f>'LIVRE Oficial'!U55</f>
        <v>0</v>
      </c>
      <c r="N56" s="21">
        <f>'LIVRE Oficial'!M55</f>
        <v>0</v>
      </c>
      <c r="O56" s="22"/>
      <c r="P56" s="22"/>
      <c r="Q56" s="20">
        <f>'LIVRE Oficial'!J55</f>
        <v>393032</v>
      </c>
      <c r="R56" s="73">
        <f>'LIVRE Oficial'!P55</f>
        <v>3</v>
      </c>
      <c r="S56" s="73">
        <f>'LIVRE Oficial'!Q55</f>
        <v>3</v>
      </c>
      <c r="T56" s="73">
        <f>'LIVRE Oficial'!R55</f>
        <v>3</v>
      </c>
      <c r="U56" s="20">
        <f>'LIVRE Oficial'!S55</f>
        <v>9</v>
      </c>
      <c r="V56" s="73">
        <f>'LIVRE Oficial'!K55</f>
        <v>2</v>
      </c>
      <c r="W56" s="1"/>
    </row>
    <row r="57" spans="2:23" ht="15.95">
      <c r="B57" s="18">
        <f>'LIVRE Oficial'!A55</f>
        <v>55</v>
      </c>
      <c r="C57" s="68">
        <f>'LIVRE Oficial'!B56</f>
        <v>46002</v>
      </c>
      <c r="D57" s="21" t="str">
        <f>'LIVRE Oficial'!C56</f>
        <v>Daniela Mochon</v>
      </c>
      <c r="E57" s="67" t="str">
        <f>'LIVRE Oficial'!D56</f>
        <v>Comercial</v>
      </c>
      <c r="F57" s="21">
        <f>'LIVRE Oficial'!E56</f>
        <v>0</v>
      </c>
      <c r="G57" s="21" t="str">
        <f>'LIVRE Oficial'!I56</f>
        <v>Funil</v>
      </c>
      <c r="H57" s="35" t="str">
        <f>'LIVRE Oficial'!F56</f>
        <v>Entregue</v>
      </c>
      <c r="I57" s="71">
        <f>'LIVRE Oficial'!G56</f>
        <v>1</v>
      </c>
      <c r="J57" s="21" t="str">
        <f>'LIVRE Oficial'!H56</f>
        <v>Melhoria</v>
      </c>
      <c r="K57" s="66" t="str">
        <f>'LIVRE Oficial'!L56</f>
        <v>OPORTUNIDADE | Fluxo de Renovação de Contratos (Atualização do Campo Categoria Contrato)</v>
      </c>
      <c r="L57" s="29">
        <f>'LIVRE Oficial'!V56</f>
        <v>0</v>
      </c>
      <c r="M57" s="21">
        <f>'LIVRE Oficial'!U56</f>
        <v>0</v>
      </c>
      <c r="N57" s="21">
        <f>'LIVRE Oficial'!M56</f>
        <v>0</v>
      </c>
      <c r="O57" s="22"/>
      <c r="P57" s="22"/>
      <c r="Q57" s="20">
        <f>'LIVRE Oficial'!J56</f>
        <v>369258</v>
      </c>
      <c r="R57" s="73">
        <f>'LIVRE Oficial'!P56</f>
        <v>3</v>
      </c>
      <c r="S57" s="73">
        <f>'LIVRE Oficial'!Q56</f>
        <v>2</v>
      </c>
      <c r="T57" s="73">
        <f>'LIVRE Oficial'!R56</f>
        <v>2</v>
      </c>
      <c r="U57" s="20">
        <f>'LIVRE Oficial'!S56</f>
        <v>7</v>
      </c>
      <c r="V57" s="73">
        <f>'LIVRE Oficial'!K56</f>
        <v>0</v>
      </c>
      <c r="W57" s="1"/>
    </row>
    <row r="58" spans="2:23" ht="15" customHeight="1">
      <c r="B58" s="18">
        <f>'LIVRE Oficial'!A56</f>
        <v>56</v>
      </c>
      <c r="C58" s="68">
        <f>'LIVRE Oficial'!B57</f>
        <v>9525</v>
      </c>
      <c r="D58" s="21" t="str">
        <f>'LIVRE Oficial'!C57</f>
        <v>Daniela Mochon</v>
      </c>
      <c r="E58" s="67" t="str">
        <f>'LIVRE Oficial'!D57</f>
        <v>Comercial</v>
      </c>
      <c r="F58" s="21">
        <f>'LIVRE Oficial'!E57</f>
        <v>0</v>
      </c>
      <c r="G58" s="21" t="str">
        <f>'LIVRE Oficial'!I57</f>
        <v>Funil</v>
      </c>
      <c r="H58" s="35" t="str">
        <f>'LIVRE Oficial'!F57</f>
        <v>Entregue</v>
      </c>
      <c r="I58" s="71">
        <f>'LIVRE Oficial'!G57</f>
        <v>1</v>
      </c>
      <c r="J58" s="21" t="str">
        <f>'LIVRE Oficial'!H57</f>
        <v>Melhoria</v>
      </c>
      <c r="K58" s="66" t="str">
        <f>'LIVRE Oficial'!L57</f>
        <v>OPORTUNIDADE | Desenvolver correção do preenchimento do campo IRIS_ValorKmRodado__c nas Oportunidades</v>
      </c>
      <c r="L58" s="29">
        <f>'LIVRE Oficial'!V57</f>
        <v>0</v>
      </c>
      <c r="M58" s="21">
        <f>'LIVRE Oficial'!U57</f>
        <v>0</v>
      </c>
      <c r="N58" s="21">
        <f>'LIVRE Oficial'!M57</f>
        <v>0</v>
      </c>
      <c r="O58" s="22"/>
      <c r="P58" s="22"/>
      <c r="Q58" s="20">
        <f>'LIVRE Oficial'!J57</f>
        <v>391124</v>
      </c>
      <c r="R58" s="73">
        <f>'LIVRE Oficial'!P57</f>
        <v>1</v>
      </c>
      <c r="S58" s="73">
        <f>'LIVRE Oficial'!Q57</f>
        <v>1</v>
      </c>
      <c r="T58" s="73">
        <f>'LIVRE Oficial'!R57</f>
        <v>1</v>
      </c>
      <c r="U58" s="20">
        <f>'LIVRE Oficial'!S57</f>
        <v>3</v>
      </c>
      <c r="V58" s="73">
        <f>'LIVRE Oficial'!K57</f>
        <v>20</v>
      </c>
      <c r="W58" s="1"/>
    </row>
    <row r="59" spans="2:23" ht="15" customHeight="1">
      <c r="B59" s="18">
        <f>'LIVRE Oficial'!A57</f>
        <v>57</v>
      </c>
      <c r="C59" s="68">
        <f>'LIVRE Oficial'!B58</f>
        <v>9510</v>
      </c>
      <c r="D59" s="21" t="str">
        <f>'LIVRE Oficial'!C58</f>
        <v>Pedro Henrique</v>
      </c>
      <c r="E59" s="67" t="str">
        <f>'LIVRE Oficial'!D58</f>
        <v>Comercial</v>
      </c>
      <c r="F59" s="21" t="str">
        <f>'LIVRE Oficial'!E58</f>
        <v>C2601-8878</v>
      </c>
      <c r="G59" s="21" t="str">
        <f>'LIVRE Oficial'!I58</f>
        <v>Funil</v>
      </c>
      <c r="H59" s="35" t="str">
        <f>'LIVRE Oficial'!F58</f>
        <v>Entregue</v>
      </c>
      <c r="I59" s="71">
        <f>'LIVRE Oficial'!G58</f>
        <v>1</v>
      </c>
      <c r="J59" s="21" t="str">
        <f>'LIVRE Oficial'!H58</f>
        <v>Melhoria</v>
      </c>
      <c r="K59" s="66" t="str">
        <f>'LIVRE Oficial'!L58</f>
        <v>OPORTUNIDADE | Liberação de edição do campo “Número do Contrato Master – Origem</v>
      </c>
      <c r="L59" s="29">
        <f>'LIVRE Oficial'!V58</f>
        <v>0</v>
      </c>
      <c r="M59" s="21">
        <f>'LIVRE Oficial'!U58</f>
        <v>0</v>
      </c>
      <c r="N59" s="21">
        <f>'LIVRE Oficial'!M58</f>
        <v>0</v>
      </c>
      <c r="O59" s="22"/>
      <c r="P59" s="22"/>
      <c r="Q59" s="20">
        <f>'LIVRE Oficial'!J58</f>
        <v>387018</v>
      </c>
      <c r="R59" s="73">
        <f>'LIVRE Oficial'!P58</f>
        <v>1</v>
      </c>
      <c r="S59" s="73">
        <f>'LIVRE Oficial'!Q58</f>
        <v>1</v>
      </c>
      <c r="T59" s="73">
        <f>'LIVRE Oficial'!R58</f>
        <v>1</v>
      </c>
      <c r="U59" s="20">
        <f>'LIVRE Oficial'!S58</f>
        <v>3</v>
      </c>
      <c r="V59" s="73">
        <f>'LIVRE Oficial'!K58</f>
        <v>20</v>
      </c>
      <c r="W59" s="1"/>
    </row>
    <row r="60" spans="2:23" ht="15" customHeight="1">
      <c r="B60" s="18">
        <f>'LIVRE Oficial'!A58</f>
        <v>58</v>
      </c>
      <c r="C60" s="68">
        <f>'LIVRE Oficial'!B59</f>
        <v>9541</v>
      </c>
      <c r="D60" s="21" t="str">
        <f>'LIVRE Oficial'!C59</f>
        <v>Pedro Henrique</v>
      </c>
      <c r="E60" s="67" t="str">
        <f>'LIVRE Oficial'!D59</f>
        <v>Comercial</v>
      </c>
      <c r="F60" s="21">
        <f>'LIVRE Oficial'!E59</f>
        <v>0</v>
      </c>
      <c r="G60" s="21" t="str">
        <f>'LIVRE Oficial'!I59</f>
        <v>Funil</v>
      </c>
      <c r="H60" s="35" t="str">
        <f>'LIVRE Oficial'!F59</f>
        <v>Entregue</v>
      </c>
      <c r="I60" s="71">
        <f>'LIVRE Oficial'!G59</f>
        <v>3</v>
      </c>
      <c r="J60" s="21" t="str">
        <f>'LIVRE Oficial'!H59</f>
        <v>Melhoria</v>
      </c>
      <c r="K60" s="66" t="str">
        <f>'LIVRE Oficial'!L59</f>
        <v>USER| Desenvolver liberação de edição de Oportunidades para IRIS_Gestor_Comercial_Livre</v>
      </c>
      <c r="L60" s="29">
        <f>'LIVRE Oficial'!V59</f>
        <v>0</v>
      </c>
      <c r="M60" s="21">
        <f>'LIVRE Oficial'!U59</f>
        <v>0</v>
      </c>
      <c r="N60" s="21">
        <f>'LIVRE Oficial'!M59</f>
        <v>0</v>
      </c>
      <c r="O60" s="22"/>
      <c r="P60" s="22"/>
      <c r="Q60" s="20">
        <f>'LIVRE Oficial'!J59</f>
        <v>395870</v>
      </c>
      <c r="R60" s="73">
        <f>'LIVRE Oficial'!P59</f>
        <v>3</v>
      </c>
      <c r="S60" s="73">
        <f>'LIVRE Oficial'!Q59</f>
        <v>3</v>
      </c>
      <c r="T60" s="73">
        <f>'LIVRE Oficial'!R59</f>
        <v>3</v>
      </c>
      <c r="U60" s="20">
        <f>'LIVRE Oficial'!S59</f>
        <v>9</v>
      </c>
      <c r="V60" s="73">
        <f>'LIVRE Oficial'!K59</f>
        <v>4</v>
      </c>
      <c r="W60" s="1"/>
    </row>
    <row r="61" spans="2:23" ht="15" customHeight="1">
      <c r="B61" s="18">
        <f>'LIVRE Oficial'!A59</f>
        <v>59</v>
      </c>
      <c r="C61" s="68">
        <f>'LIVRE Oficial'!B60</f>
        <v>9617</v>
      </c>
      <c r="D61" s="21" t="str">
        <f>'LIVRE Oficial'!C60</f>
        <v>Daniela Mochon</v>
      </c>
      <c r="E61" s="67" t="str">
        <f>'LIVRE Oficial'!D60</f>
        <v>Comercial</v>
      </c>
      <c r="F61" s="21" t="str">
        <f>'LIVRE Oficial'!E60</f>
        <v>C2604-33584</v>
      </c>
      <c r="G61" s="21" t="str">
        <f>'LIVRE Oficial'!I60</f>
        <v>Funil</v>
      </c>
      <c r="H61" s="35" t="str">
        <f>'LIVRE Oficial'!F60</f>
        <v>Entregue</v>
      </c>
      <c r="I61" s="71">
        <f>'LIVRE Oficial'!G60</f>
        <v>3</v>
      </c>
      <c r="J61" s="21" t="str">
        <f>'LIVRE Oficial'!H60</f>
        <v xml:space="preserve">BUG </v>
      </c>
      <c r="K61" s="66" t="str">
        <f>'LIVRE Oficial'!L60</f>
        <v>OPORTUNIDADE | Desenvolver correção de atualização de SubFase em Oportunidade de Renovação</v>
      </c>
      <c r="L61" s="29">
        <f>'LIVRE Oficial'!V60</f>
        <v>0</v>
      </c>
      <c r="M61" s="21">
        <f>'LIVRE Oficial'!U60</f>
        <v>0</v>
      </c>
      <c r="N61" s="21">
        <f>'LIVRE Oficial'!M60</f>
        <v>0</v>
      </c>
      <c r="O61" s="22"/>
      <c r="P61" s="22"/>
      <c r="Q61" s="20">
        <f>'LIVRE Oficial'!J60</f>
        <v>639777</v>
      </c>
      <c r="R61" s="73">
        <f>'LIVRE Oficial'!P60</f>
        <v>3</v>
      </c>
      <c r="S61" s="73">
        <f>'LIVRE Oficial'!Q60</f>
        <v>3</v>
      </c>
      <c r="T61" s="73">
        <f>'LIVRE Oficial'!R60</f>
        <v>3</v>
      </c>
      <c r="U61" s="20">
        <f>'LIVRE Oficial'!S60</f>
        <v>9</v>
      </c>
      <c r="V61" s="73">
        <f>'LIVRE Oficial'!K60</f>
        <v>4</v>
      </c>
      <c r="W61" s="1"/>
    </row>
    <row r="62" spans="2:23" ht="15" customHeight="1">
      <c r="B62" s="18">
        <f>'LIVRE Oficial'!A60</f>
        <v>60</v>
      </c>
      <c r="C62" s="68">
        <f>'LIVRE Oficial'!B61</f>
        <v>9511</v>
      </c>
      <c r="D62" s="21" t="str">
        <f>'LIVRE Oficial'!C61</f>
        <v>Proativo</v>
      </c>
      <c r="E62" s="67" t="str">
        <f>'LIVRE Oficial'!D61</f>
        <v>Funil</v>
      </c>
      <c r="F62" s="21">
        <f>'LIVRE Oficial'!E61</f>
        <v>0</v>
      </c>
      <c r="G62" s="21" t="str">
        <f>'LIVRE Oficial'!I61</f>
        <v>Funil</v>
      </c>
      <c r="H62" s="35" t="str">
        <f>'LIVRE Oficial'!F61</f>
        <v>Entregue</v>
      </c>
      <c r="I62" s="71">
        <f>'LIVRE Oficial'!G61</f>
        <v>1</v>
      </c>
      <c r="J62" s="21" t="str">
        <f>'LIVRE Oficial'!H61</f>
        <v>Melhoria</v>
      </c>
      <c r="K62" s="66" t="str">
        <f>'LIVRE Oficial'!L61</f>
        <v>LEAD | Desenvolver Padronização do Cadastro de Cidades Atendidas pela UNIDAS</v>
      </c>
      <c r="L62" s="29">
        <f>'LIVRE Oficial'!V61</f>
        <v>0</v>
      </c>
      <c r="M62" s="21">
        <f>'LIVRE Oficial'!U61</f>
        <v>0</v>
      </c>
      <c r="N62" s="21">
        <f>'LIVRE Oficial'!M61</f>
        <v>0</v>
      </c>
      <c r="O62" s="22"/>
      <c r="P62" s="22"/>
      <c r="Q62" s="20">
        <f>'LIVRE Oficial'!J61</f>
        <v>387519</v>
      </c>
      <c r="R62" s="73">
        <f>'LIVRE Oficial'!P61</f>
        <v>1</v>
      </c>
      <c r="S62" s="73">
        <f>'LIVRE Oficial'!Q61</f>
        <v>1</v>
      </c>
      <c r="T62" s="73">
        <f>'LIVRE Oficial'!R61</f>
        <v>1</v>
      </c>
      <c r="U62" s="20">
        <f>'LIVRE Oficial'!S61</f>
        <v>3</v>
      </c>
      <c r="V62" s="73">
        <f>'LIVRE Oficial'!K61</f>
        <v>17</v>
      </c>
      <c r="W62" s="1"/>
    </row>
    <row r="63" spans="2:23" ht="15" customHeight="1">
      <c r="B63" s="18">
        <f>'LIVRE Oficial'!A61</f>
        <v>61</v>
      </c>
      <c r="C63" s="68">
        <f>'LIVRE Oficial'!B62</f>
        <v>46328</v>
      </c>
      <c r="D63" s="21" t="str">
        <f>'LIVRE Oficial'!C62</f>
        <v>Daniela Mochon</v>
      </c>
      <c r="E63" s="67" t="str">
        <f>'LIVRE Oficial'!D62</f>
        <v>Comercial</v>
      </c>
      <c r="F63" s="21">
        <f>'LIVRE Oficial'!E62</f>
        <v>0</v>
      </c>
      <c r="G63" s="21" t="str">
        <f>'LIVRE Oficial'!I62</f>
        <v>Funil</v>
      </c>
      <c r="H63" s="35" t="str">
        <f>'LIVRE Oficial'!F62</f>
        <v>Entregue</v>
      </c>
      <c r="I63" s="71" t="str">
        <f>'LIVRE Oficial'!G62</f>
        <v> </v>
      </c>
      <c r="J63" s="21" t="str">
        <f>'LIVRE Oficial'!H62</f>
        <v>Melhoria</v>
      </c>
      <c r="K63" s="66" t="str">
        <f>'LIVRE Oficial'!L62</f>
        <v>LEAD | Desenvolvimento de Correção Nº2 de Cadastro de Cidades via Integração</v>
      </c>
      <c r="L63" s="29">
        <f>'LIVRE Oficial'!V62</f>
        <v>0</v>
      </c>
      <c r="M63" s="21">
        <f>'LIVRE Oficial'!U62</f>
        <v>0</v>
      </c>
      <c r="N63" s="21">
        <f>'LIVRE Oficial'!M62</f>
        <v>0</v>
      </c>
      <c r="O63" s="22"/>
      <c r="P63" s="22"/>
      <c r="Q63" s="20">
        <f>'LIVRE Oficial'!J62</f>
        <v>395197</v>
      </c>
      <c r="R63" s="73" t="str">
        <f>'LIVRE Oficial'!P62</f>
        <v> </v>
      </c>
      <c r="S63" s="73" t="str">
        <f>'LIVRE Oficial'!Q62</f>
        <v> </v>
      </c>
      <c r="T63" s="73" t="str">
        <f>'LIVRE Oficial'!R62</f>
        <v> </v>
      </c>
      <c r="U63" s="20" t="e">
        <f>'LIVRE Oficial'!S62</f>
        <v>#VALUE!</v>
      </c>
      <c r="V63" s="73" t="str">
        <f>'LIVRE Oficial'!K62</f>
        <v> </v>
      </c>
      <c r="W63" s="1"/>
    </row>
    <row r="64" spans="2:23" ht="15" customHeight="1">
      <c r="B64" s="18">
        <f>'LIVRE Oficial'!A62</f>
        <v>62</v>
      </c>
      <c r="C64" s="68">
        <f>'LIVRE Oficial'!B63</f>
        <v>46143</v>
      </c>
      <c r="D64" s="21" t="str">
        <f>'LIVRE Oficial'!C63</f>
        <v>Monique Evelin</v>
      </c>
      <c r="E64" s="67" t="str">
        <f>'LIVRE Oficial'!D63</f>
        <v>Crédito</v>
      </c>
      <c r="F64" s="21">
        <f>'LIVRE Oficial'!E63</f>
        <v>0</v>
      </c>
      <c r="G64" s="21" t="str">
        <f>'LIVRE Oficial'!I63</f>
        <v>Funil</v>
      </c>
      <c r="H64" s="35" t="str">
        <f>'LIVRE Oficial'!F63</f>
        <v>Entregue</v>
      </c>
      <c r="I64" s="71">
        <f>'LIVRE Oficial'!G63</f>
        <v>1</v>
      </c>
      <c r="J64" s="21" t="str">
        <f>'LIVRE Oficial'!H63</f>
        <v xml:space="preserve">BUG </v>
      </c>
      <c r="K64" s="66" t="str">
        <f>'LIVRE Oficial'!L63</f>
        <v>OPORTUNIDADE | Correção de Cancelamento de Crédito e Validação de Múltiplas Chamadas</v>
      </c>
      <c r="L64" s="29">
        <f>'LIVRE Oficial'!V63</f>
        <v>0</v>
      </c>
      <c r="M64" s="21">
        <f>'LIVRE Oficial'!U63</f>
        <v>0</v>
      </c>
      <c r="N64" s="21">
        <f>'LIVRE Oficial'!M63</f>
        <v>0</v>
      </c>
      <c r="O64" s="22"/>
      <c r="P64" s="22"/>
      <c r="Q64" s="20">
        <f>'LIVRE Oficial'!J63</f>
        <v>385296</v>
      </c>
      <c r="R64" s="73">
        <f>'LIVRE Oficial'!P63</f>
        <v>3</v>
      </c>
      <c r="S64" s="73">
        <f>'LIVRE Oficial'!Q63</f>
        <v>2</v>
      </c>
      <c r="T64" s="73">
        <f>'LIVRE Oficial'!R63</f>
        <v>2</v>
      </c>
      <c r="U64" s="20">
        <f>'LIVRE Oficial'!S63</f>
        <v>7</v>
      </c>
      <c r="V64" s="73">
        <f>'LIVRE Oficial'!K63</f>
        <v>0</v>
      </c>
      <c r="W64" s="1"/>
    </row>
    <row r="65" spans="2:23" ht="16.5" customHeight="1">
      <c r="B65" s="18">
        <f>'LIVRE Oficial'!A63</f>
        <v>63</v>
      </c>
      <c r="C65" s="68">
        <f>'LIVRE Oficial'!B64</f>
        <v>46114</v>
      </c>
      <c r="D65" s="21" t="str">
        <f>'LIVRE Oficial'!C64</f>
        <v>Daniela Mochon</v>
      </c>
      <c r="E65" s="67" t="str">
        <f>'LIVRE Oficial'!D64</f>
        <v>Comercial</v>
      </c>
      <c r="F65" s="21">
        <f>'LIVRE Oficial'!E64</f>
        <v>0</v>
      </c>
      <c r="G65" s="21" t="str">
        <f>'LIVRE Oficial'!I64</f>
        <v>Funil</v>
      </c>
      <c r="H65" s="35" t="str">
        <f>'LIVRE Oficial'!F64</f>
        <v>Entregue</v>
      </c>
      <c r="I65" s="71" t="str">
        <f>'LIVRE Oficial'!G64</f>
        <v> </v>
      </c>
      <c r="J65" s="21" t="str">
        <f>'LIVRE Oficial'!H64</f>
        <v>Melhoria</v>
      </c>
      <c r="K65" s="66" t="str">
        <f>'LIVRE Oficial'!L64</f>
        <v>REPORT | Desenvolver Alteração no Botão de Relatório (Cotação Master) - Mário Sturlini</v>
      </c>
      <c r="L65" s="29">
        <f>'LIVRE Oficial'!V64</f>
        <v>0</v>
      </c>
      <c r="M65" s="21">
        <f>'LIVRE Oficial'!U64</f>
        <v>0</v>
      </c>
      <c r="N65" s="21">
        <f>'LIVRE Oficial'!M64</f>
        <v>0</v>
      </c>
      <c r="O65" s="22"/>
      <c r="P65" s="22"/>
      <c r="Q65" s="20">
        <f>'LIVRE Oficial'!J64</f>
        <v>393206</v>
      </c>
      <c r="R65" s="73" t="str">
        <f>'LIVRE Oficial'!P64</f>
        <v> </v>
      </c>
      <c r="S65" s="73" t="str">
        <f>'LIVRE Oficial'!Q64</f>
        <v> </v>
      </c>
      <c r="T65" s="73" t="str">
        <f>'LIVRE Oficial'!R64</f>
        <v> </v>
      </c>
      <c r="U65" s="20" t="e">
        <f>'LIVRE Oficial'!S64</f>
        <v>#VALUE!</v>
      </c>
      <c r="V65" s="73" t="str">
        <f>'LIVRE Oficial'!K64</f>
        <v> </v>
      </c>
      <c r="W65" s="1"/>
    </row>
    <row r="66" spans="2:23" ht="15" customHeight="1">
      <c r="B66" s="18">
        <f>'LIVRE Oficial'!A64</f>
        <v>64</v>
      </c>
      <c r="C66" s="68">
        <f>'LIVRE Oficial'!B65</f>
        <v>9510</v>
      </c>
      <c r="D66" s="21" t="str">
        <f>'LIVRE Oficial'!C65</f>
        <v>Daniela Mochon</v>
      </c>
      <c r="E66" s="67" t="str">
        <f>'LIVRE Oficial'!D65</f>
        <v>Comercial</v>
      </c>
      <c r="F66" s="21">
        <f>'LIVRE Oficial'!E65</f>
        <v>0</v>
      </c>
      <c r="G66" s="21" t="str">
        <f>'LIVRE Oficial'!I65</f>
        <v>Funil</v>
      </c>
      <c r="H66" s="35" t="str">
        <f>'LIVRE Oficial'!F65</f>
        <v>Entregue</v>
      </c>
      <c r="I66" s="71">
        <f>'LIVRE Oficial'!G65</f>
        <v>1</v>
      </c>
      <c r="J66" s="21" t="str">
        <f>'LIVRE Oficial'!H65</f>
        <v>Melhoria</v>
      </c>
      <c r="K66" s="66" t="str">
        <f>'LIVRE Oficial'!L65</f>
        <v>OPORTUNIDADE | Correção da Data/Hora de Assinatura</v>
      </c>
      <c r="L66" s="29">
        <f>'LIVRE Oficial'!V65</f>
        <v>0</v>
      </c>
      <c r="M66" s="21">
        <f>'LIVRE Oficial'!U65</f>
        <v>0</v>
      </c>
      <c r="N66" s="21">
        <f>'LIVRE Oficial'!M65</f>
        <v>0</v>
      </c>
      <c r="O66" s="22"/>
      <c r="P66" s="22"/>
      <c r="Q66" s="20">
        <f>'LIVRE Oficial'!J65</f>
        <v>387296</v>
      </c>
      <c r="R66" s="73">
        <f>'LIVRE Oficial'!P65</f>
        <v>1</v>
      </c>
      <c r="S66" s="73">
        <f>'LIVRE Oficial'!Q65</f>
        <v>1</v>
      </c>
      <c r="T66" s="73">
        <f>'LIVRE Oficial'!R65</f>
        <v>1</v>
      </c>
      <c r="U66" s="20">
        <f>'LIVRE Oficial'!S65</f>
        <v>3</v>
      </c>
      <c r="V66" s="73">
        <f>'LIVRE Oficial'!K65</f>
        <v>22</v>
      </c>
      <c r="W66" s="1"/>
    </row>
    <row r="67" spans="2:23" ht="15" customHeight="1">
      <c r="B67" s="18">
        <f>'LIVRE Oficial'!A65</f>
        <v>65</v>
      </c>
      <c r="C67" s="68">
        <f>'LIVRE Oficial'!B66</f>
        <v>46027.603032407409</v>
      </c>
      <c r="D67" s="21" t="str">
        <f>'LIVRE Oficial'!C66</f>
        <v>Daniela Mochon</v>
      </c>
      <c r="E67" s="67" t="str">
        <f>'LIVRE Oficial'!D66</f>
        <v>Comercial</v>
      </c>
      <c r="F67" s="21">
        <f>'LIVRE Oficial'!E66</f>
        <v>0</v>
      </c>
      <c r="G67" s="21" t="str">
        <f>'LIVRE Oficial'!I66</f>
        <v>Funil</v>
      </c>
      <c r="H67" s="35" t="str">
        <f>'LIVRE Oficial'!F66</f>
        <v>Entregue</v>
      </c>
      <c r="I67" s="71">
        <f>'LIVRE Oficial'!G66</f>
        <v>1</v>
      </c>
      <c r="J67" s="21" t="str">
        <f>'LIVRE Oficial'!H66</f>
        <v>Melhoria</v>
      </c>
      <c r="K67" s="66" t="str">
        <f>'LIVRE Oficial'!L66</f>
        <v>OPORTUNIDADE | Correção de Cancelamento de Crédito e Validação de Múltiplas Chamadas</v>
      </c>
      <c r="L67" s="29">
        <f>'LIVRE Oficial'!V66</f>
        <v>0</v>
      </c>
      <c r="M67" s="21">
        <f>'LIVRE Oficial'!U66</f>
        <v>0</v>
      </c>
      <c r="N67" s="21">
        <f>'LIVRE Oficial'!M66</f>
        <v>0</v>
      </c>
      <c r="O67" s="22"/>
      <c r="P67" s="22"/>
      <c r="Q67" s="20">
        <f>'LIVRE Oficial'!J66</f>
        <v>385296</v>
      </c>
      <c r="R67" s="73">
        <f>'LIVRE Oficial'!P66</f>
        <v>3</v>
      </c>
      <c r="S67" s="73">
        <f>'LIVRE Oficial'!Q66</f>
        <v>2</v>
      </c>
      <c r="T67" s="73">
        <f>'LIVRE Oficial'!R66</f>
        <v>2</v>
      </c>
      <c r="U67" s="20">
        <f>'LIVRE Oficial'!S66</f>
        <v>7</v>
      </c>
      <c r="V67" s="73">
        <f>'LIVRE Oficial'!K66</f>
        <v>0</v>
      </c>
      <c r="W67" s="1"/>
    </row>
    <row r="68" spans="2:23" ht="15" customHeight="1">
      <c r="B68" s="18">
        <f>'LIVRE Oficial'!A66</f>
        <v>66</v>
      </c>
      <c r="C68" s="68">
        <f>'LIVRE Oficial'!B67</f>
        <v>46027.617002314815</v>
      </c>
      <c r="D68" s="21" t="str">
        <f>'LIVRE Oficial'!C67</f>
        <v>Daniela Mochon</v>
      </c>
      <c r="E68" s="67" t="str">
        <f>'LIVRE Oficial'!D67</f>
        <v>Comercial</v>
      </c>
      <c r="F68" s="21">
        <f>'LIVRE Oficial'!E67</f>
        <v>0</v>
      </c>
      <c r="G68" s="21" t="str">
        <f>'LIVRE Oficial'!I67</f>
        <v>Funil</v>
      </c>
      <c r="H68" s="35" t="str">
        <f>'LIVRE Oficial'!F67</f>
        <v>Entregue</v>
      </c>
      <c r="I68" s="71">
        <f>'LIVRE Oficial'!G67</f>
        <v>3</v>
      </c>
      <c r="J68" s="21" t="str">
        <f>'LIVRE Oficial'!H67</f>
        <v>Melhoria</v>
      </c>
      <c r="K68" s="66" t="str">
        <f>'LIVRE Oficial'!L67</f>
        <v>OPORTUNIDADE em QA | Correção de Dados da Oportunidade em Criação com Troca de Titularidade</v>
      </c>
      <c r="L68" s="29">
        <f>'LIVRE Oficial'!V67</f>
        <v>0</v>
      </c>
      <c r="M68" s="21">
        <f>'LIVRE Oficial'!U67</f>
        <v>0</v>
      </c>
      <c r="N68" s="21">
        <f>'LIVRE Oficial'!M67</f>
        <v>0</v>
      </c>
      <c r="O68" s="22"/>
      <c r="P68" s="22"/>
      <c r="Q68" s="20">
        <f>'LIVRE Oficial'!J67</f>
        <v>385303</v>
      </c>
      <c r="R68" s="73">
        <f>'LIVRE Oficial'!P67</f>
        <v>3</v>
      </c>
      <c r="S68" s="73">
        <f>'LIVRE Oficial'!Q67</f>
        <v>2</v>
      </c>
      <c r="T68" s="73">
        <f>'LIVRE Oficial'!R67</f>
        <v>2</v>
      </c>
      <c r="U68" s="20">
        <f>'LIVRE Oficial'!S67</f>
        <v>7</v>
      </c>
      <c r="V68" s="73">
        <f>'LIVRE Oficial'!K67</f>
        <v>10</v>
      </c>
      <c r="W68" s="1"/>
    </row>
    <row r="69" spans="2:23" ht="15" customHeight="1">
      <c r="B69" s="18">
        <f>'LIVRE Oficial'!A67</f>
        <v>67</v>
      </c>
      <c r="C69" s="68">
        <f>'LIVRE Oficial'!B68</f>
        <v>46027.730636574073</v>
      </c>
      <c r="D69" s="21" t="str">
        <f>'LIVRE Oficial'!C68</f>
        <v>Daniela Mochon</v>
      </c>
      <c r="E69" s="67" t="str">
        <f>'LIVRE Oficial'!D68</f>
        <v>Comercial</v>
      </c>
      <c r="F69" s="21">
        <f>'LIVRE Oficial'!E68</f>
        <v>0</v>
      </c>
      <c r="G69" s="21" t="str">
        <f>'LIVRE Oficial'!I68</f>
        <v>Funil</v>
      </c>
      <c r="H69" s="35" t="str">
        <f>'LIVRE Oficial'!F68</f>
        <v>Entregue</v>
      </c>
      <c r="I69" s="71">
        <f>'LIVRE Oficial'!G68</f>
        <v>3</v>
      </c>
      <c r="J69" s="21" t="str">
        <f>'LIVRE Oficial'!H68</f>
        <v>Melhoria</v>
      </c>
      <c r="K69" s="66" t="str">
        <f>'LIVRE Oficial'!L68</f>
        <v>CONTRATO | Desenvolver na Integração para Ignorar Contrato Provisório no Preenchimento da Oportunidade</v>
      </c>
      <c r="L69" s="29">
        <f>'LIVRE Oficial'!V68</f>
        <v>0</v>
      </c>
      <c r="M69" s="21">
        <f>'LIVRE Oficial'!U68</f>
        <v>0</v>
      </c>
      <c r="N69" s="21">
        <f>'LIVRE Oficial'!M68</f>
        <v>0</v>
      </c>
      <c r="O69" s="22"/>
      <c r="P69" s="22"/>
      <c r="Q69" s="20">
        <f>'LIVRE Oficial'!J68</f>
        <v>385378</v>
      </c>
      <c r="R69" s="73">
        <f>'LIVRE Oficial'!P68</f>
        <v>3</v>
      </c>
      <c r="S69" s="73">
        <f>'LIVRE Oficial'!Q68</f>
        <v>2</v>
      </c>
      <c r="T69" s="73">
        <f>'LIVRE Oficial'!R68</f>
        <v>2</v>
      </c>
      <c r="U69" s="20">
        <f>'LIVRE Oficial'!S68</f>
        <v>7</v>
      </c>
      <c r="V69" s="73">
        <f>'LIVRE Oficial'!K68</f>
        <v>10</v>
      </c>
      <c r="W69" s="1"/>
    </row>
    <row r="70" spans="2:23" ht="15" customHeight="1">
      <c r="B70" s="18">
        <f>'LIVRE Oficial'!A68</f>
        <v>68</v>
      </c>
      <c r="C70" s="68">
        <f>'LIVRE Oficial'!B69</f>
        <v>46035.407824074071</v>
      </c>
      <c r="D70" s="21" t="str">
        <f>'LIVRE Oficial'!C69</f>
        <v>Daniela Mochon</v>
      </c>
      <c r="E70" s="67" t="str">
        <f>'LIVRE Oficial'!D69</f>
        <v>Comercial</v>
      </c>
      <c r="F70" s="21">
        <f>'LIVRE Oficial'!E69</f>
        <v>0</v>
      </c>
      <c r="G70" s="21" t="str">
        <f>'LIVRE Oficial'!I69</f>
        <v>Funil</v>
      </c>
      <c r="H70" s="35" t="str">
        <f>'LIVRE Oficial'!F69</f>
        <v>Entregue</v>
      </c>
      <c r="I70" s="71">
        <f>'LIVRE Oficial'!G69</f>
        <v>1</v>
      </c>
      <c r="J70" s="21" t="str">
        <f>'LIVRE Oficial'!H69</f>
        <v>Melhoria</v>
      </c>
      <c r="K70" s="66" t="str">
        <f>'LIVRE Oficial'!L69</f>
        <v>OPORTUNIDADE | Liberação de edição do campo “Número do Contrato Master – Origem</v>
      </c>
      <c r="L70" s="29">
        <f>'LIVRE Oficial'!V69</f>
        <v>0</v>
      </c>
      <c r="M70" s="21">
        <f>'LIVRE Oficial'!U69</f>
        <v>0</v>
      </c>
      <c r="N70" s="21">
        <f>'LIVRE Oficial'!M69</f>
        <v>0</v>
      </c>
      <c r="O70" s="22"/>
      <c r="P70" s="22"/>
      <c r="Q70" s="20">
        <f>'LIVRE Oficial'!J69</f>
        <v>387018</v>
      </c>
      <c r="R70" s="73">
        <f>'LIVRE Oficial'!P69</f>
        <v>1</v>
      </c>
      <c r="S70" s="73">
        <f>'LIVRE Oficial'!Q69</f>
        <v>1</v>
      </c>
      <c r="T70" s="73">
        <f>'LIVRE Oficial'!R69</f>
        <v>1</v>
      </c>
      <c r="U70" s="20">
        <f>'LIVRE Oficial'!S69</f>
        <v>3</v>
      </c>
      <c r="V70" s="73">
        <f>'LIVRE Oficial'!K69</f>
        <v>20</v>
      </c>
      <c r="W70" s="1"/>
    </row>
    <row r="71" spans="2:23" ht="15" customHeight="1">
      <c r="B71" s="18">
        <f>'LIVRE Oficial'!A69</f>
        <v>69</v>
      </c>
      <c r="C71" s="68">
        <f>'LIVRE Oficial'!B70</f>
        <v>46035.737638888888</v>
      </c>
      <c r="D71" s="21" t="str">
        <f>'LIVRE Oficial'!C70</f>
        <v>Daniela Mochon</v>
      </c>
      <c r="E71" s="67" t="str">
        <f>'LIVRE Oficial'!D70</f>
        <v>Comercial</v>
      </c>
      <c r="F71" s="21">
        <f>'LIVRE Oficial'!E70</f>
        <v>0</v>
      </c>
      <c r="G71" s="21" t="str">
        <f>'LIVRE Oficial'!I70</f>
        <v>Funil</v>
      </c>
      <c r="H71" s="35" t="str">
        <f>'LIVRE Oficial'!F70</f>
        <v>Entregue</v>
      </c>
      <c r="I71" s="71">
        <f>'LIVRE Oficial'!G70</f>
        <v>1</v>
      </c>
      <c r="J71" s="21" t="str">
        <f>'LIVRE Oficial'!H70</f>
        <v>Melhoria</v>
      </c>
      <c r="K71" s="66" t="str">
        <f>'LIVRE Oficial'!L70</f>
        <v>OPORTUNIDADE | Correção da Data/Hora de Assinatura</v>
      </c>
      <c r="L71" s="29">
        <f>'LIVRE Oficial'!V70</f>
        <v>0</v>
      </c>
      <c r="M71" s="21">
        <f>'LIVRE Oficial'!U70</f>
        <v>0</v>
      </c>
      <c r="N71" s="21">
        <f>'LIVRE Oficial'!M70</f>
        <v>0</v>
      </c>
      <c r="O71" s="22"/>
      <c r="P71" s="22"/>
      <c r="Q71" s="20">
        <f>'LIVRE Oficial'!J70</f>
        <v>387296</v>
      </c>
      <c r="R71" s="73">
        <f>'LIVRE Oficial'!P70</f>
        <v>1</v>
      </c>
      <c r="S71" s="73">
        <f>'LIVRE Oficial'!Q70</f>
        <v>1</v>
      </c>
      <c r="T71" s="73">
        <f>'LIVRE Oficial'!R70</f>
        <v>1</v>
      </c>
      <c r="U71" s="20">
        <f>'LIVRE Oficial'!S70</f>
        <v>3</v>
      </c>
      <c r="V71" s="73">
        <f>'LIVRE Oficial'!K70</f>
        <v>22</v>
      </c>
      <c r="W71" s="1"/>
    </row>
    <row r="72" spans="2:23" ht="15" customHeight="1">
      <c r="B72" s="18">
        <f>'LIVRE Oficial'!A70</f>
        <v>70</v>
      </c>
      <c r="C72" s="68">
        <f>'LIVRE Oficial'!B71</f>
        <v>46036.510185185187</v>
      </c>
      <c r="D72" s="21" t="str">
        <f>'LIVRE Oficial'!C71</f>
        <v>Daniela Mochon</v>
      </c>
      <c r="E72" s="67" t="str">
        <f>'LIVRE Oficial'!D71</f>
        <v>Comercial</v>
      </c>
      <c r="F72" s="21">
        <f>'LIVRE Oficial'!E71</f>
        <v>0</v>
      </c>
      <c r="G72" s="21" t="str">
        <f>'LIVRE Oficial'!I71</f>
        <v>Funil</v>
      </c>
      <c r="H72" s="35" t="str">
        <f>'LIVRE Oficial'!F71</f>
        <v>Entregue</v>
      </c>
      <c r="I72" s="71">
        <f>'LIVRE Oficial'!G71</f>
        <v>1</v>
      </c>
      <c r="J72" s="21" t="str">
        <f>'LIVRE Oficial'!H71</f>
        <v>Melhoria</v>
      </c>
      <c r="K72" s="66" t="str">
        <f>'LIVRE Oficial'!L71</f>
        <v>QUOTE | Desenvolver Correção do Envio de Emplacamento no Pedido de Compra (GWM – SP)</v>
      </c>
      <c r="L72" s="29">
        <f>'LIVRE Oficial'!V71</f>
        <v>0</v>
      </c>
      <c r="M72" s="21">
        <f>'LIVRE Oficial'!U71</f>
        <v>0</v>
      </c>
      <c r="N72" s="21">
        <f>'LIVRE Oficial'!M71</f>
        <v>0</v>
      </c>
      <c r="O72" s="22"/>
      <c r="P72" s="22"/>
      <c r="Q72" s="20">
        <f>'LIVRE Oficial'!J71</f>
        <v>387417</v>
      </c>
      <c r="R72" s="73">
        <f>'LIVRE Oficial'!P71</f>
        <v>1</v>
      </c>
      <c r="S72" s="73">
        <f>'LIVRE Oficial'!Q71</f>
        <v>1</v>
      </c>
      <c r="T72" s="73">
        <f>'LIVRE Oficial'!R71</f>
        <v>1</v>
      </c>
      <c r="U72" s="20">
        <f>'LIVRE Oficial'!S71</f>
        <v>3</v>
      </c>
      <c r="V72" s="73">
        <f>'LIVRE Oficial'!K71</f>
        <v>21</v>
      </c>
      <c r="W72" s="1"/>
    </row>
    <row r="73" spans="2:23" ht="15" customHeight="1">
      <c r="B73" s="18">
        <f>'LIVRE Oficial'!A71</f>
        <v>71</v>
      </c>
      <c r="C73" s="68">
        <f>'LIVRE Oficial'!B72</f>
        <v>46036.681689814817</v>
      </c>
      <c r="D73" s="21" t="str">
        <f>'LIVRE Oficial'!C72</f>
        <v>Daniela Mochon</v>
      </c>
      <c r="E73" s="67" t="str">
        <f>'LIVRE Oficial'!D72</f>
        <v>Comercial</v>
      </c>
      <c r="F73" s="21">
        <f>'LIVRE Oficial'!E72</f>
        <v>0</v>
      </c>
      <c r="G73" s="21" t="str">
        <f>'LIVRE Oficial'!I72</f>
        <v>Funil</v>
      </c>
      <c r="H73" s="35" t="str">
        <f>'LIVRE Oficial'!F72</f>
        <v>Entregue</v>
      </c>
      <c r="I73" s="71">
        <f>'LIVRE Oficial'!G72</f>
        <v>1</v>
      </c>
      <c r="J73" s="21" t="str">
        <f>'LIVRE Oficial'!H72</f>
        <v>Melhoria</v>
      </c>
      <c r="K73" s="66" t="str">
        <f>'LIVRE Oficial'!L72</f>
        <v>LEAD | Desenvolver Padronização do Cadastro de Cidades Atendidas pela UNIDAS</v>
      </c>
      <c r="L73" s="29">
        <f>'LIVRE Oficial'!V72</f>
        <v>0</v>
      </c>
      <c r="M73" s="21">
        <f>'LIVRE Oficial'!U72</f>
        <v>0</v>
      </c>
      <c r="N73" s="21">
        <f>'LIVRE Oficial'!M72</f>
        <v>0</v>
      </c>
      <c r="O73" s="22"/>
      <c r="P73" s="22"/>
      <c r="Q73" s="20">
        <f>'LIVRE Oficial'!J72</f>
        <v>387519</v>
      </c>
      <c r="R73" s="73">
        <f>'LIVRE Oficial'!P72</f>
        <v>1</v>
      </c>
      <c r="S73" s="73">
        <f>'LIVRE Oficial'!Q72</f>
        <v>1</v>
      </c>
      <c r="T73" s="73">
        <f>'LIVRE Oficial'!R72</f>
        <v>1</v>
      </c>
      <c r="U73" s="20">
        <f>'LIVRE Oficial'!S72</f>
        <v>3</v>
      </c>
      <c r="V73" s="73">
        <f>'LIVRE Oficial'!K72</f>
        <v>17</v>
      </c>
      <c r="W73" s="1"/>
    </row>
    <row r="74" spans="2:23" ht="15" customHeight="1">
      <c r="B74" s="18">
        <f>'LIVRE Oficial'!A72</f>
        <v>72</v>
      </c>
      <c r="C74" s="68">
        <f>'LIVRE Oficial'!B73</f>
        <v>46036.705474537041</v>
      </c>
      <c r="D74" s="21" t="str">
        <f>'LIVRE Oficial'!C73</f>
        <v>Daniela Mochon</v>
      </c>
      <c r="E74" s="67" t="str">
        <f>'LIVRE Oficial'!D73</f>
        <v>Comercial</v>
      </c>
      <c r="F74" s="21">
        <f>'LIVRE Oficial'!E73</f>
        <v>0</v>
      </c>
      <c r="G74" s="21" t="str">
        <f>'LIVRE Oficial'!I73</f>
        <v>Funil</v>
      </c>
      <c r="H74" s="35" t="str">
        <f>'LIVRE Oficial'!F73</f>
        <v>Entregue</v>
      </c>
      <c r="I74" s="71">
        <f>'LIVRE Oficial'!G73</f>
        <v>1</v>
      </c>
      <c r="J74" s="21" t="str">
        <f>'LIVRE Oficial'!H73</f>
        <v>Melhoria</v>
      </c>
      <c r="K74" s="66" t="str">
        <f>'LIVRE Oficial'!L73</f>
        <v>ASSET | Ano do Produto Desatualizado</v>
      </c>
      <c r="L74" s="29">
        <f>'LIVRE Oficial'!V73</f>
        <v>0</v>
      </c>
      <c r="M74" s="21">
        <f>'LIVRE Oficial'!U73</f>
        <v>0</v>
      </c>
      <c r="N74" s="21">
        <f>'LIVRE Oficial'!M73</f>
        <v>0</v>
      </c>
      <c r="O74" s="22"/>
      <c r="P74" s="22"/>
      <c r="Q74" s="20">
        <f>'LIVRE Oficial'!J73</f>
        <v>387569</v>
      </c>
      <c r="R74" s="73">
        <f>'LIVRE Oficial'!P73</f>
        <v>1</v>
      </c>
      <c r="S74" s="73">
        <f>'LIVRE Oficial'!Q73</f>
        <v>1</v>
      </c>
      <c r="T74" s="73">
        <f>'LIVRE Oficial'!R73</f>
        <v>1</v>
      </c>
      <c r="U74" s="20">
        <f>'LIVRE Oficial'!S73</f>
        <v>3</v>
      </c>
      <c r="V74" s="73">
        <f>'LIVRE Oficial'!K73</f>
        <v>21</v>
      </c>
      <c r="W74" s="1"/>
    </row>
    <row r="75" spans="2:23" ht="15" customHeight="1">
      <c r="B75" s="18">
        <f>'LIVRE Oficial'!A73</f>
        <v>73</v>
      </c>
      <c r="C75" s="68">
        <f>'LIVRE Oficial'!B74</f>
        <v>46041.365416666667</v>
      </c>
      <c r="D75" s="21" t="str">
        <f>'LIVRE Oficial'!C74</f>
        <v>Daniela Mochon</v>
      </c>
      <c r="E75" s="67" t="str">
        <f>'LIVRE Oficial'!D74</f>
        <v>Comercial</v>
      </c>
      <c r="F75" s="21">
        <f>'LIVRE Oficial'!E74</f>
        <v>0</v>
      </c>
      <c r="G75" s="21" t="str">
        <f>'LIVRE Oficial'!I74</f>
        <v>Funil</v>
      </c>
      <c r="H75" s="35" t="str">
        <f>'LIVRE Oficial'!F74</f>
        <v>Entregue</v>
      </c>
      <c r="I75" s="71">
        <f>'LIVRE Oficial'!G74</f>
        <v>1</v>
      </c>
      <c r="J75" s="21" t="str">
        <f>'LIVRE Oficial'!H74</f>
        <v>Melhoria</v>
      </c>
      <c r="K75" s="66" t="str">
        <f>'LIVRE Oficial'!L74</f>
        <v>CONTRATO | Desativação da ValidationRule de Assinatura do Contrato</v>
      </c>
      <c r="L75" s="29">
        <f>'LIVRE Oficial'!V74</f>
        <v>0</v>
      </c>
      <c r="M75" s="21">
        <f>'LIVRE Oficial'!U74</f>
        <v>0</v>
      </c>
      <c r="N75" s="21">
        <f>'LIVRE Oficial'!M74</f>
        <v>0</v>
      </c>
      <c r="O75" s="22"/>
      <c r="P75" s="22"/>
      <c r="Q75" s="20">
        <f>'LIVRE Oficial'!J74</f>
        <v>388456</v>
      </c>
      <c r="R75" s="73">
        <f>'LIVRE Oficial'!P74</f>
        <v>2</v>
      </c>
      <c r="S75" s="73">
        <f>'LIVRE Oficial'!Q74</f>
        <v>1</v>
      </c>
      <c r="T75" s="73">
        <f>'LIVRE Oficial'!R74</f>
        <v>2</v>
      </c>
      <c r="U75" s="20">
        <f>'LIVRE Oficial'!S74</f>
        <v>5</v>
      </c>
      <c r="V75" s="73">
        <f>'LIVRE Oficial'!K74</f>
        <v>13</v>
      </c>
      <c r="W75" s="1"/>
    </row>
    <row r="76" spans="2:23" ht="15" customHeight="1">
      <c r="B76" s="18">
        <f>'LIVRE Oficial'!A74</f>
        <v>74</v>
      </c>
      <c r="C76" s="68">
        <f>'LIVRE Oficial'!B75</f>
        <v>46042.863530092596</v>
      </c>
      <c r="D76" s="21" t="str">
        <f>'LIVRE Oficial'!C75</f>
        <v>Daniela Mochon</v>
      </c>
      <c r="E76" s="67" t="str">
        <f>'LIVRE Oficial'!D75</f>
        <v>Comercial</v>
      </c>
      <c r="F76" s="21">
        <f>'LIVRE Oficial'!E75</f>
        <v>0</v>
      </c>
      <c r="G76" s="21" t="str">
        <f>'LIVRE Oficial'!I75</f>
        <v>Funil</v>
      </c>
      <c r="H76" s="35" t="str">
        <f>'LIVRE Oficial'!F75</f>
        <v>Entregue</v>
      </c>
      <c r="I76" s="71">
        <f>'LIVRE Oficial'!G75</f>
        <v>3</v>
      </c>
      <c r="J76" s="21" t="str">
        <f>'LIVRE Oficial'!H75</f>
        <v>Melhoria</v>
      </c>
      <c r="K76" s="66" t="str">
        <f>'LIVRE Oficial'!L75</f>
        <v>LEAD | Desenvolver  Fluxo de Consulta com Pré-Score</v>
      </c>
      <c r="L76" s="29">
        <f>'LIVRE Oficial'!V75</f>
        <v>0</v>
      </c>
      <c r="M76" s="21">
        <f>'LIVRE Oficial'!U75</f>
        <v>0</v>
      </c>
      <c r="N76" s="21">
        <f>'LIVRE Oficial'!M75</f>
        <v>0</v>
      </c>
      <c r="O76" s="22"/>
      <c r="P76" s="22"/>
      <c r="Q76" s="20">
        <f>'LIVRE Oficial'!J75</f>
        <v>389140</v>
      </c>
      <c r="R76" s="73">
        <f>'LIVRE Oficial'!P75</f>
        <v>3</v>
      </c>
      <c r="S76" s="73">
        <f>'LIVRE Oficial'!Q75</f>
        <v>3</v>
      </c>
      <c r="T76" s="73">
        <f>'LIVRE Oficial'!R75</f>
        <v>3</v>
      </c>
      <c r="U76" s="20">
        <f>'LIVRE Oficial'!S75</f>
        <v>9</v>
      </c>
      <c r="V76" s="73">
        <f>'LIVRE Oficial'!K75</f>
        <v>5</v>
      </c>
      <c r="W76" s="1"/>
    </row>
    <row r="77" spans="2:23" ht="15" customHeight="1">
      <c r="B77" s="18">
        <f>'LIVRE Oficial'!A75</f>
        <v>75</v>
      </c>
      <c r="C77" s="68">
        <f>'LIVRE Oficial'!B76</f>
        <v>46050.72315972222</v>
      </c>
      <c r="D77" s="21" t="str">
        <f>'LIVRE Oficial'!C76</f>
        <v>Daniela Mochon</v>
      </c>
      <c r="E77" s="67" t="str">
        <f>'LIVRE Oficial'!D76</f>
        <v>Comercial</v>
      </c>
      <c r="F77" s="21">
        <f>'LIVRE Oficial'!E76</f>
        <v>0</v>
      </c>
      <c r="G77" s="21" t="str">
        <f>'LIVRE Oficial'!I76</f>
        <v>Funil</v>
      </c>
      <c r="H77" s="35" t="str">
        <f>'LIVRE Oficial'!F76</f>
        <v>Entregue</v>
      </c>
      <c r="I77" s="71">
        <f>'LIVRE Oficial'!G76</f>
        <v>1</v>
      </c>
      <c r="J77" s="21" t="str">
        <f>'LIVRE Oficial'!H76</f>
        <v>Melhoria</v>
      </c>
      <c r="K77" s="66" t="str">
        <f>'LIVRE Oficial'!L76</f>
        <v>OPORTUNIDADE | Desenvolver correção do preenchimento do campo IRIS_ValorKmRodado__c nas Oportunidades</v>
      </c>
      <c r="L77" s="29">
        <f>'LIVRE Oficial'!V76</f>
        <v>0</v>
      </c>
      <c r="M77" s="21">
        <f>'LIVRE Oficial'!U76</f>
        <v>0</v>
      </c>
      <c r="N77" s="21">
        <f>'LIVRE Oficial'!M76</f>
        <v>0</v>
      </c>
      <c r="O77" s="22"/>
      <c r="P77" s="22"/>
      <c r="Q77" s="20">
        <f>'LIVRE Oficial'!J76</f>
        <v>391124</v>
      </c>
      <c r="R77" s="73">
        <f>'LIVRE Oficial'!P76</f>
        <v>1</v>
      </c>
      <c r="S77" s="73">
        <f>'LIVRE Oficial'!Q76</f>
        <v>1</v>
      </c>
      <c r="T77" s="73">
        <f>'LIVRE Oficial'!R76</f>
        <v>1</v>
      </c>
      <c r="U77" s="20">
        <f>'LIVRE Oficial'!S76</f>
        <v>3</v>
      </c>
      <c r="V77" s="73">
        <f>'LIVRE Oficial'!K76</f>
        <v>20</v>
      </c>
      <c r="W77" s="1"/>
    </row>
    <row r="78" spans="2:23" ht="15" customHeight="1">
      <c r="B78" s="18">
        <f>'LIVRE Oficial'!A76</f>
        <v>76</v>
      </c>
      <c r="C78" s="68">
        <f>'LIVRE Oficial'!B77</f>
        <v>46057.574479166666</v>
      </c>
      <c r="D78" s="21" t="str">
        <f>'LIVRE Oficial'!C77</f>
        <v>Daniela Mochon</v>
      </c>
      <c r="E78" s="67" t="str">
        <f>'LIVRE Oficial'!D77</f>
        <v>Comercial</v>
      </c>
      <c r="F78" s="21">
        <f>'LIVRE Oficial'!E77</f>
        <v>0</v>
      </c>
      <c r="G78" s="21" t="str">
        <f>'LIVRE Oficial'!I77</f>
        <v>Funil</v>
      </c>
      <c r="H78" s="35" t="str">
        <f>'LIVRE Oficial'!F77</f>
        <v>Entregue</v>
      </c>
      <c r="I78" s="71">
        <f>'LIVRE Oficial'!G77</f>
        <v>2</v>
      </c>
      <c r="J78" s="21" t="str">
        <f>'LIVRE Oficial'!H77</f>
        <v>Melhoria</v>
      </c>
      <c r="K78" s="66" t="str">
        <f>'LIVRE Oficial'!L77</f>
        <v>RENOVAÇÃO | Desenvolver Integração de Pedidos de Renovação com Locavia</v>
      </c>
      <c r="L78" s="29">
        <f>'LIVRE Oficial'!V77</f>
        <v>0</v>
      </c>
      <c r="M78" s="21">
        <f>'LIVRE Oficial'!U77</f>
        <v>0</v>
      </c>
      <c r="N78" s="21">
        <f>'LIVRE Oficial'!M77</f>
        <v>0</v>
      </c>
      <c r="O78" s="22"/>
      <c r="P78" s="22"/>
      <c r="Q78" s="20">
        <f>'LIVRE Oficial'!J77</f>
        <v>393032</v>
      </c>
      <c r="R78" s="73">
        <f>'LIVRE Oficial'!P77</f>
        <v>3</v>
      </c>
      <c r="S78" s="73">
        <f>'LIVRE Oficial'!Q77</f>
        <v>3</v>
      </c>
      <c r="T78" s="73">
        <f>'LIVRE Oficial'!R77</f>
        <v>3</v>
      </c>
      <c r="U78" s="20">
        <f>'LIVRE Oficial'!S77</f>
        <v>9</v>
      </c>
      <c r="V78" s="73">
        <f>'LIVRE Oficial'!K77</f>
        <v>2</v>
      </c>
      <c r="W78" s="1"/>
    </row>
    <row r="79" spans="2:23" ht="15" customHeight="1">
      <c r="B79" s="18">
        <f>'LIVRE Oficial'!A77</f>
        <v>77</v>
      </c>
      <c r="C79" s="68">
        <f>'LIVRE Oficial'!B78</f>
        <v>46063.590081018519</v>
      </c>
      <c r="D79" s="21" t="str">
        <f>'LIVRE Oficial'!C78</f>
        <v>Daniela Mochon</v>
      </c>
      <c r="E79" s="67" t="str">
        <f>'LIVRE Oficial'!D78</f>
        <v>Comercial</v>
      </c>
      <c r="F79" s="21">
        <f>'LIVRE Oficial'!E78</f>
        <v>0</v>
      </c>
      <c r="G79" s="21" t="str">
        <f>'LIVRE Oficial'!I78</f>
        <v>Funil</v>
      </c>
      <c r="H79" s="35" t="str">
        <f>'LIVRE Oficial'!F78</f>
        <v>Entregue</v>
      </c>
      <c r="I79" s="71" t="str">
        <f>'LIVRE Oficial'!G78</f>
        <v> </v>
      </c>
      <c r="J79" s="21" t="str">
        <f>'LIVRE Oficial'!H78</f>
        <v>Melhoria</v>
      </c>
      <c r="K79" s="66" t="str">
        <f>'LIVRE Oficial'!L78</f>
        <v>OPORTUNIDADE | Atualização e inclusão de motivos no campo “Motivo Fechado Perdido”</v>
      </c>
      <c r="L79" s="29">
        <f>'LIVRE Oficial'!V78</f>
        <v>0</v>
      </c>
      <c r="M79" s="21">
        <f>'LIVRE Oficial'!U78</f>
        <v>0</v>
      </c>
      <c r="N79" s="21">
        <f>'LIVRE Oficial'!M78</f>
        <v>0</v>
      </c>
      <c r="O79" s="22"/>
      <c r="P79" s="22"/>
      <c r="Q79" s="20">
        <f>'LIVRE Oficial'!J78</f>
        <v>394897</v>
      </c>
      <c r="R79" s="73" t="str">
        <f>'LIVRE Oficial'!P78</f>
        <v> </v>
      </c>
      <c r="S79" s="73" t="str">
        <f>'LIVRE Oficial'!Q78</f>
        <v> </v>
      </c>
      <c r="T79" s="73" t="str">
        <f>'LIVRE Oficial'!R78</f>
        <v> </v>
      </c>
      <c r="U79" s="20" t="e">
        <f>'LIVRE Oficial'!S78</f>
        <v>#VALUE!</v>
      </c>
      <c r="V79" s="73" t="str">
        <f>'LIVRE Oficial'!K78</f>
        <v> </v>
      </c>
      <c r="W79" s="1"/>
    </row>
    <row r="80" spans="2:23" ht="15" customHeight="1">
      <c r="B80" s="18">
        <f>'LIVRE Oficial'!A78</f>
        <v>78</v>
      </c>
      <c r="C80" s="68">
        <f>'LIVRE Oficial'!B79</f>
        <v>46064.43</v>
      </c>
      <c r="D80" s="21" t="str">
        <f>'LIVRE Oficial'!C79</f>
        <v>Daniela Mochon</v>
      </c>
      <c r="E80" s="67" t="str">
        <f>'LIVRE Oficial'!D79</f>
        <v>Comercial</v>
      </c>
      <c r="F80" s="21">
        <f>'LIVRE Oficial'!E79</f>
        <v>0</v>
      </c>
      <c r="G80" s="21" t="str">
        <f>'LIVRE Oficial'!I79</f>
        <v>Funil</v>
      </c>
      <c r="H80" s="35" t="str">
        <f>'LIVRE Oficial'!F79</f>
        <v>Entregue</v>
      </c>
      <c r="I80" s="71" t="str">
        <f>'LIVRE Oficial'!G79</f>
        <v> </v>
      </c>
      <c r="J80" s="21" t="str">
        <f>'LIVRE Oficial'!H79</f>
        <v>Melhoria</v>
      </c>
      <c r="K80" s="66" t="str">
        <f>'LIVRE Oficial'!L79</f>
        <v>LEAD | Desenvolvimento de Correção Nº2 de Cadastro de Cidades via Integração</v>
      </c>
      <c r="L80" s="29">
        <f>'LIVRE Oficial'!V79</f>
        <v>0</v>
      </c>
      <c r="M80" s="21">
        <f>'LIVRE Oficial'!U79</f>
        <v>0</v>
      </c>
      <c r="N80" s="21">
        <f>'LIVRE Oficial'!M79</f>
        <v>0</v>
      </c>
      <c r="O80" s="22"/>
      <c r="P80" s="22"/>
      <c r="Q80" s="20">
        <f>'LIVRE Oficial'!J79</f>
        <v>395197</v>
      </c>
      <c r="R80" s="73" t="str">
        <f>'LIVRE Oficial'!P79</f>
        <v> </v>
      </c>
      <c r="S80" s="73" t="str">
        <f>'LIVRE Oficial'!Q79</f>
        <v> </v>
      </c>
      <c r="T80" s="73" t="str">
        <f>'LIVRE Oficial'!R79</f>
        <v> </v>
      </c>
      <c r="U80" s="20" t="e">
        <f>'LIVRE Oficial'!S79</f>
        <v>#VALUE!</v>
      </c>
      <c r="V80" s="73" t="str">
        <f>'LIVRE Oficial'!K79</f>
        <v> </v>
      </c>
      <c r="W80" s="1"/>
    </row>
    <row r="81" spans="2:23" ht="15" customHeight="1">
      <c r="B81" s="18">
        <f>'LIVRE Oficial'!A79</f>
        <v>79</v>
      </c>
      <c r="C81" s="68">
        <f>'LIVRE Oficial'!B80</f>
        <v>46064.431898148148</v>
      </c>
      <c r="D81" s="21" t="str">
        <f>'LIVRE Oficial'!C80</f>
        <v>Daniela Mochon</v>
      </c>
      <c r="E81" s="67" t="str">
        <f>'LIVRE Oficial'!D80</f>
        <v>Comercial</v>
      </c>
      <c r="F81" s="21">
        <f>'LIVRE Oficial'!E80</f>
        <v>0</v>
      </c>
      <c r="G81" s="21" t="str">
        <f>'LIVRE Oficial'!I80</f>
        <v>Funil</v>
      </c>
      <c r="H81" s="35" t="str">
        <f>'LIVRE Oficial'!F80</f>
        <v>Entregue</v>
      </c>
      <c r="I81" s="71" t="str">
        <f>'LIVRE Oficial'!G80</f>
        <v> </v>
      </c>
      <c r="J81" s="21" t="str">
        <f>'LIVRE Oficial'!H80</f>
        <v>Melhoria</v>
      </c>
      <c r="K81" s="66" t="str">
        <f>'LIVRE Oficial'!L80</f>
        <v>PRODUTO | Voltar Flow e da UF de Emplacamento</v>
      </c>
      <c r="L81" s="29">
        <f>'LIVRE Oficial'!V80</f>
        <v>0</v>
      </c>
      <c r="M81" s="21">
        <f>'LIVRE Oficial'!U80</f>
        <v>0</v>
      </c>
      <c r="N81" s="21">
        <f>'LIVRE Oficial'!M80</f>
        <v>0</v>
      </c>
      <c r="O81" s="22"/>
      <c r="P81" s="22"/>
      <c r="Q81" s="20">
        <f>'LIVRE Oficial'!J80</f>
        <v>395200</v>
      </c>
      <c r="R81" s="73" t="str">
        <f>'LIVRE Oficial'!P80</f>
        <v> </v>
      </c>
      <c r="S81" s="73" t="str">
        <f>'LIVRE Oficial'!Q80</f>
        <v> </v>
      </c>
      <c r="T81" s="73" t="str">
        <f>'LIVRE Oficial'!R80</f>
        <v> </v>
      </c>
      <c r="U81" s="20" t="e">
        <f>'LIVRE Oficial'!S80</f>
        <v>#VALUE!</v>
      </c>
      <c r="V81" s="73" t="str">
        <f>'LIVRE Oficial'!K80</f>
        <v> </v>
      </c>
      <c r="W81" s="1"/>
    </row>
    <row r="82" spans="2:23" ht="15" customHeight="1">
      <c r="B82" s="18">
        <f>'LIVRE Oficial'!A80</f>
        <v>80</v>
      </c>
      <c r="C82" s="68">
        <f>'LIVRE Oficial'!B81</f>
        <v>46066.658321759256</v>
      </c>
      <c r="D82" s="21" t="str">
        <f>'LIVRE Oficial'!C81</f>
        <v>Daniela Mochon</v>
      </c>
      <c r="E82" s="67" t="str">
        <f>'LIVRE Oficial'!D81</f>
        <v>Comercial</v>
      </c>
      <c r="F82" s="21">
        <f>'LIVRE Oficial'!E81</f>
        <v>0</v>
      </c>
      <c r="G82" s="21" t="str">
        <f>'LIVRE Oficial'!I81</f>
        <v>Funil</v>
      </c>
      <c r="H82" s="35" t="str">
        <f>'LIVRE Oficial'!F81</f>
        <v>Entregue</v>
      </c>
      <c r="I82" s="71">
        <f>'LIVRE Oficial'!G81</f>
        <v>3</v>
      </c>
      <c r="J82" s="21" t="str">
        <f>'LIVRE Oficial'!H81</f>
        <v>Melhoria</v>
      </c>
      <c r="K82" s="66" t="str">
        <f>'LIVRE Oficial'!L81</f>
        <v>USER| Desenvolver liberação de edição de Oportunidades para IRIS_Gestor_Comercial_Livre</v>
      </c>
      <c r="L82" s="29">
        <f>'LIVRE Oficial'!V81</f>
        <v>0</v>
      </c>
      <c r="M82" s="21">
        <f>'LIVRE Oficial'!U81</f>
        <v>0</v>
      </c>
      <c r="N82" s="21">
        <f>'LIVRE Oficial'!M81</f>
        <v>0</v>
      </c>
      <c r="O82" s="22"/>
      <c r="P82" s="22"/>
      <c r="Q82" s="20">
        <f>'LIVRE Oficial'!J81</f>
        <v>395870</v>
      </c>
      <c r="R82" s="73">
        <f>'LIVRE Oficial'!P81</f>
        <v>3</v>
      </c>
      <c r="S82" s="73">
        <f>'LIVRE Oficial'!Q81</f>
        <v>3</v>
      </c>
      <c r="T82" s="73">
        <f>'LIVRE Oficial'!R81</f>
        <v>3</v>
      </c>
      <c r="U82" s="20">
        <f>'LIVRE Oficial'!S81</f>
        <v>9</v>
      </c>
      <c r="V82" s="73">
        <f>'LIVRE Oficial'!K81</f>
        <v>4</v>
      </c>
      <c r="W82" s="1"/>
    </row>
    <row r="83" spans="2:23" ht="15" customHeight="1">
      <c r="B83" s="18">
        <f>'LIVRE Oficial'!A81</f>
        <v>81</v>
      </c>
      <c r="C83" s="68">
        <f>'LIVRE Oficial'!B82</f>
        <v>46076.602592592593</v>
      </c>
      <c r="D83" s="21" t="str">
        <f>'LIVRE Oficial'!C82</f>
        <v>Daniela Mochon</v>
      </c>
      <c r="E83" s="67" t="str">
        <f>'LIVRE Oficial'!D82</f>
        <v>Comercial</v>
      </c>
      <c r="F83" s="21">
        <f>'LIVRE Oficial'!E82</f>
        <v>0</v>
      </c>
      <c r="G83" s="21" t="str">
        <f>'LIVRE Oficial'!I82</f>
        <v>Funil</v>
      </c>
      <c r="H83" s="35" t="str">
        <f>'LIVRE Oficial'!F82</f>
        <v>Entregue</v>
      </c>
      <c r="I83" s="71" t="str">
        <f>'LIVRE Oficial'!G82</f>
        <v> </v>
      </c>
      <c r="J83" s="21" t="str">
        <f>'LIVRE Oficial'!H82</f>
        <v>Melhoria</v>
      </c>
      <c r="K83" s="66" t="str">
        <f>'LIVRE Oficial'!L82</f>
        <v>ACCOUNT | Desenvolver bloqueio na trigger quando o tipo de registro da Conta for Empresa</v>
      </c>
      <c r="L83" s="29">
        <f>'LIVRE Oficial'!V82</f>
        <v>0</v>
      </c>
      <c r="M83" s="21">
        <f>'LIVRE Oficial'!U82</f>
        <v>0</v>
      </c>
      <c r="N83" s="21">
        <f>'LIVRE Oficial'!M82</f>
        <v>0</v>
      </c>
      <c r="O83" s="22"/>
      <c r="P83" s="22"/>
      <c r="Q83" s="20">
        <f>'LIVRE Oficial'!J82</f>
        <v>397308</v>
      </c>
      <c r="R83" s="73" t="str">
        <f>'LIVRE Oficial'!P82</f>
        <v> </v>
      </c>
      <c r="S83" s="73" t="str">
        <f>'LIVRE Oficial'!Q82</f>
        <v> </v>
      </c>
      <c r="T83" s="73" t="str">
        <f>'LIVRE Oficial'!R82</f>
        <v> </v>
      </c>
      <c r="U83" s="20" t="e">
        <f>'LIVRE Oficial'!S82</f>
        <v>#VALUE!</v>
      </c>
      <c r="V83" s="73" t="str">
        <f>'LIVRE Oficial'!K82</f>
        <v> </v>
      </c>
      <c r="W83" s="1"/>
    </row>
    <row r="84" spans="2:23" ht="15" customHeight="1">
      <c r="B84" s="18">
        <f>'LIVRE Oficial'!A82</f>
        <v>82</v>
      </c>
      <c r="C84" s="68">
        <f>'LIVRE Oficial'!B83</f>
        <v>46076.721770833334</v>
      </c>
      <c r="D84" s="21" t="str">
        <f>'LIVRE Oficial'!C83</f>
        <v>Daniela Mochon</v>
      </c>
      <c r="E84" s="67" t="str">
        <f>'LIVRE Oficial'!D83</f>
        <v>Comercial</v>
      </c>
      <c r="F84" s="21">
        <f>'LIVRE Oficial'!E83</f>
        <v>0</v>
      </c>
      <c r="G84" s="21" t="str">
        <f>'LIVRE Oficial'!I83</f>
        <v>Funil</v>
      </c>
      <c r="H84" s="35" t="str">
        <f>'LIVRE Oficial'!F83</f>
        <v>Entregue</v>
      </c>
      <c r="I84" s="71" t="str">
        <f>'LIVRE Oficial'!G83</f>
        <v> </v>
      </c>
      <c r="J84" s="21" t="str">
        <f>'LIVRE Oficial'!H83</f>
        <v>Melhoria</v>
      </c>
      <c r="K84" s="66" t="str">
        <f>'LIVRE Oficial'!L83</f>
        <v>OPORTUNIDADE | Desenvolver correção Motivo de Perda (Fechado Perdido)</v>
      </c>
      <c r="L84" s="29">
        <f>'LIVRE Oficial'!V83</f>
        <v>0</v>
      </c>
      <c r="M84" s="21">
        <f>'LIVRE Oficial'!U83</f>
        <v>0</v>
      </c>
      <c r="N84" s="21">
        <f>'LIVRE Oficial'!M83</f>
        <v>0</v>
      </c>
      <c r="O84" s="22"/>
      <c r="P84" s="22"/>
      <c r="Q84" s="20">
        <f>'LIVRE Oficial'!J83</f>
        <v>397404</v>
      </c>
      <c r="R84" s="73" t="str">
        <f>'LIVRE Oficial'!P83</f>
        <v> </v>
      </c>
      <c r="S84" s="73" t="str">
        <f>'LIVRE Oficial'!Q83</f>
        <v> </v>
      </c>
      <c r="T84" s="73" t="str">
        <f>'LIVRE Oficial'!R83</f>
        <v> </v>
      </c>
      <c r="U84" s="20" t="e">
        <f>'LIVRE Oficial'!S83</f>
        <v>#VALUE!</v>
      </c>
      <c r="V84" s="73" t="str">
        <f>'LIVRE Oficial'!K83</f>
        <v> </v>
      </c>
      <c r="W84" s="1"/>
    </row>
    <row r="85" spans="2:23" ht="15" customHeight="1">
      <c r="B85" s="18">
        <f>'LIVRE Oficial'!A83</f>
        <v>83</v>
      </c>
      <c r="C85" s="68">
        <f>'LIVRE Oficial'!B84</f>
        <v>46077.403738425928</v>
      </c>
      <c r="D85" s="21" t="str">
        <f>'LIVRE Oficial'!C84</f>
        <v>Daniela Mochon</v>
      </c>
      <c r="E85" s="67" t="str">
        <f>'LIVRE Oficial'!D84</f>
        <v>Comercial</v>
      </c>
      <c r="F85" s="21">
        <f>'LIVRE Oficial'!E84</f>
        <v>0</v>
      </c>
      <c r="G85" s="21" t="str">
        <f>'LIVRE Oficial'!I84</f>
        <v>Funil</v>
      </c>
      <c r="H85" s="35" t="str">
        <f>'LIVRE Oficial'!F84</f>
        <v>Entregue</v>
      </c>
      <c r="I85" s="71">
        <f>'LIVRE Oficial'!G84</f>
        <v>1</v>
      </c>
      <c r="J85" s="21" t="str">
        <f>'LIVRE Oficial'!H84</f>
        <v>Melhoria</v>
      </c>
      <c r="K85" s="66" t="str">
        <f>'LIVRE Oficial'!L84</f>
        <v>PRODUTO | Criação do campo “Migração AX” em Product2 e Asset com visibilidade controlada</v>
      </c>
      <c r="L85" s="29">
        <f>'LIVRE Oficial'!V84</f>
        <v>0</v>
      </c>
      <c r="M85" s="21">
        <f>'LIVRE Oficial'!U84</f>
        <v>0</v>
      </c>
      <c r="N85" s="21">
        <f>'LIVRE Oficial'!M84</f>
        <v>0</v>
      </c>
      <c r="O85" s="22"/>
      <c r="P85" s="22"/>
      <c r="Q85" s="20">
        <f>'LIVRE Oficial'!J84</f>
        <v>397510</v>
      </c>
      <c r="R85" s="73">
        <f>'LIVRE Oficial'!P84</f>
        <v>3</v>
      </c>
      <c r="S85" s="73">
        <f>'LIVRE Oficial'!Q84</f>
        <v>2</v>
      </c>
      <c r="T85" s="73">
        <f>'LIVRE Oficial'!R84</f>
        <v>2</v>
      </c>
      <c r="U85" s="20">
        <f>'LIVRE Oficial'!S84</f>
        <v>7</v>
      </c>
      <c r="V85" s="73">
        <f>'LIVRE Oficial'!K84</f>
        <v>0</v>
      </c>
      <c r="W85" s="1"/>
    </row>
    <row r="86" spans="2:23" ht="15" customHeight="1">
      <c r="B86" s="18">
        <f>'LIVRE Oficial'!A84</f>
        <v>84</v>
      </c>
      <c r="C86" s="68">
        <f>'LIVRE Oficial'!B85</f>
        <v>46079.673634259256</v>
      </c>
      <c r="D86" s="21" t="str">
        <f>'LIVRE Oficial'!C85</f>
        <v>Daniela Mochon</v>
      </c>
      <c r="E86" s="67" t="str">
        <f>'LIVRE Oficial'!D85</f>
        <v>Comercial</v>
      </c>
      <c r="F86" s="21">
        <f>'LIVRE Oficial'!E85</f>
        <v>0</v>
      </c>
      <c r="G86" s="21" t="str">
        <f>'LIVRE Oficial'!I85</f>
        <v>Funil</v>
      </c>
      <c r="H86" s="35" t="str">
        <f>'LIVRE Oficial'!F85</f>
        <v>Entregue</v>
      </c>
      <c r="I86" s="71">
        <f>'LIVRE Oficial'!G85</f>
        <v>1</v>
      </c>
      <c r="J86" s="21" t="str">
        <f>'LIVRE Oficial'!H85</f>
        <v>Melhoria</v>
      </c>
      <c r="K86" s="66" t="str">
        <f>'LIVRE Oficial'!L85</f>
        <v>OPORTUNIDADE - Desenvolver correção de mudança indevida do status da Oportunidade</v>
      </c>
      <c r="L86" s="29">
        <f>'LIVRE Oficial'!V85</f>
        <v>0</v>
      </c>
      <c r="M86" s="21">
        <f>'LIVRE Oficial'!U85</f>
        <v>0</v>
      </c>
      <c r="N86" s="21">
        <f>'LIVRE Oficial'!M85</f>
        <v>0</v>
      </c>
      <c r="O86" s="22"/>
      <c r="P86" s="22"/>
      <c r="Q86" s="20">
        <f>'LIVRE Oficial'!J85</f>
        <v>398780</v>
      </c>
      <c r="R86" s="73">
        <f>'LIVRE Oficial'!P85</f>
        <v>3</v>
      </c>
      <c r="S86" s="73">
        <f>'LIVRE Oficial'!Q85</f>
        <v>2</v>
      </c>
      <c r="T86" s="73">
        <f>'LIVRE Oficial'!R85</f>
        <v>2</v>
      </c>
      <c r="U86" s="20">
        <f>'LIVRE Oficial'!S85</f>
        <v>7</v>
      </c>
      <c r="V86" s="73">
        <f>'LIVRE Oficial'!K85</f>
        <v>0</v>
      </c>
      <c r="W86" s="1"/>
    </row>
    <row r="87" spans="2:23" ht="15" customHeight="1">
      <c r="B87" s="18">
        <f>'LIVRE Oficial'!A85</f>
        <v>85</v>
      </c>
      <c r="C87" s="68">
        <f>'LIVRE Oficial'!B86</f>
        <v>46085.675173611111</v>
      </c>
      <c r="D87" s="21" t="str">
        <f>'LIVRE Oficial'!C86</f>
        <v>Daniela Mochon</v>
      </c>
      <c r="E87" s="67" t="str">
        <f>'LIVRE Oficial'!D86</f>
        <v>Comercial</v>
      </c>
      <c r="F87" s="21">
        <f>'LIVRE Oficial'!E86</f>
        <v>0</v>
      </c>
      <c r="G87" s="21" t="str">
        <f>'LIVRE Oficial'!I86</f>
        <v>Funil</v>
      </c>
      <c r="H87" s="35" t="str">
        <f>'LIVRE Oficial'!F86</f>
        <v>Entregue</v>
      </c>
      <c r="I87" s="71" t="str">
        <f>'LIVRE Oficial'!G86</f>
        <v> </v>
      </c>
      <c r="J87" s="21" t="str">
        <f>'LIVRE Oficial'!H86</f>
        <v>Melhoria</v>
      </c>
      <c r="K87" s="66" t="str">
        <f>'LIVRE Oficial'!L86</f>
        <v>OPORTUNIDADE | Desenvolver obrigatoriedade do Campo Subfase</v>
      </c>
      <c r="L87" s="29">
        <f>'LIVRE Oficial'!V86</f>
        <v>0</v>
      </c>
      <c r="M87" s="21">
        <f>'LIVRE Oficial'!U86</f>
        <v>0</v>
      </c>
      <c r="N87" s="21">
        <f>'LIVRE Oficial'!M86</f>
        <v>0</v>
      </c>
      <c r="O87" s="22"/>
      <c r="P87" s="22"/>
      <c r="Q87" s="20">
        <f>'LIVRE Oficial'!J86</f>
        <v>409101</v>
      </c>
      <c r="R87" s="73" t="str">
        <f>'LIVRE Oficial'!P86</f>
        <v> </v>
      </c>
      <c r="S87" s="73" t="str">
        <f>'LIVRE Oficial'!Q86</f>
        <v> </v>
      </c>
      <c r="T87" s="73" t="str">
        <f>'LIVRE Oficial'!R86</f>
        <v> </v>
      </c>
      <c r="U87" s="20" t="e">
        <f>'LIVRE Oficial'!S86</f>
        <v>#VALUE!</v>
      </c>
      <c r="V87" s="73" t="str">
        <f>'LIVRE Oficial'!K86</f>
        <v> </v>
      </c>
      <c r="W87" s="1"/>
    </row>
    <row r="88" spans="2:23" ht="15" customHeight="1">
      <c r="B88" s="18">
        <f>'LIVRE Oficial'!A86</f>
        <v>86</v>
      </c>
      <c r="C88" s="68">
        <f>'LIVRE Oficial'!B87</f>
        <v>46092.770046296297</v>
      </c>
      <c r="D88" s="21" t="str">
        <f>'LIVRE Oficial'!C87</f>
        <v>Daniela Mochon</v>
      </c>
      <c r="E88" s="67" t="str">
        <f>'LIVRE Oficial'!D87</f>
        <v>Comercial</v>
      </c>
      <c r="F88" s="21">
        <f>'LIVRE Oficial'!E87</f>
        <v>0</v>
      </c>
      <c r="G88" s="21" t="str">
        <f>'LIVRE Oficial'!I87</f>
        <v>Funil</v>
      </c>
      <c r="H88" s="35" t="str">
        <f>'LIVRE Oficial'!F87</f>
        <v>Entregue</v>
      </c>
      <c r="I88" s="71">
        <f>'LIVRE Oficial'!G87</f>
        <v>1</v>
      </c>
      <c r="J88" s="21" t="str">
        <f>'LIVRE Oficial'!H87</f>
        <v>Melhoria</v>
      </c>
      <c r="K88" s="66" t="str">
        <f>'LIVRE Oficial'!L87</f>
        <v>CONTA | Alterar Nome do Cliente após Subida de Nova Proposta</v>
      </c>
      <c r="L88" s="29">
        <f>'LIVRE Oficial'!V87</f>
        <v>0</v>
      </c>
      <c r="M88" s="21">
        <f>'LIVRE Oficial'!U87</f>
        <v>0</v>
      </c>
      <c r="N88" s="21">
        <f>'LIVRE Oficial'!M87</f>
        <v>0</v>
      </c>
      <c r="O88" s="22"/>
      <c r="P88" s="22"/>
      <c r="Q88" s="20">
        <f>'LIVRE Oficial'!J87</f>
        <v>419044</v>
      </c>
      <c r="R88" s="73">
        <f>'LIVRE Oficial'!P87</f>
        <v>1</v>
      </c>
      <c r="S88" s="73">
        <f>'LIVRE Oficial'!Q87</f>
        <v>1</v>
      </c>
      <c r="T88" s="73">
        <f>'LIVRE Oficial'!R87</f>
        <v>1</v>
      </c>
      <c r="U88" s="20">
        <f>'LIVRE Oficial'!S87</f>
        <v>3</v>
      </c>
      <c r="V88" s="73">
        <f>'LIVRE Oficial'!K87</f>
        <v>20</v>
      </c>
      <c r="W88" s="1"/>
    </row>
    <row r="89" spans="2:23" ht="15" customHeight="1">
      <c r="B89" s="18">
        <f>'LIVRE Oficial'!A87</f>
        <v>87</v>
      </c>
      <c r="C89" s="68">
        <f>'LIVRE Oficial'!B88</f>
        <v>46093.577615740738</v>
      </c>
      <c r="D89" s="21" t="str">
        <f>'LIVRE Oficial'!C88</f>
        <v>Daniela Mochon</v>
      </c>
      <c r="E89" s="67" t="str">
        <f>'LIVRE Oficial'!D88</f>
        <v>Comercial</v>
      </c>
      <c r="F89" s="21">
        <f>'LIVRE Oficial'!E88</f>
        <v>0</v>
      </c>
      <c r="G89" s="21" t="str">
        <f>'LIVRE Oficial'!I88</f>
        <v>Funil</v>
      </c>
      <c r="H89" s="35" t="str">
        <f>'LIVRE Oficial'!F88</f>
        <v>Entregue</v>
      </c>
      <c r="I89" s="71" t="str">
        <f>'LIVRE Oficial'!G88</f>
        <v> </v>
      </c>
      <c r="J89" s="21" t="str">
        <f>'LIVRE Oficial'!H88</f>
        <v>Melhoria</v>
      </c>
      <c r="K89" s="66" t="str">
        <f>'LIVRE Oficial'!L88</f>
        <v>OPORTUNIDADE | Liberar a visualização do campo "Cadastro sincronizado SAP e Locavia" para o Perfil Atendimento Livre</v>
      </c>
      <c r="L89" s="29">
        <f>'LIVRE Oficial'!V88</f>
        <v>0</v>
      </c>
      <c r="M89" s="21">
        <f>'LIVRE Oficial'!U88</f>
        <v>0</v>
      </c>
      <c r="N89" s="21">
        <f>'LIVRE Oficial'!M88</f>
        <v>0</v>
      </c>
      <c r="O89" s="22"/>
      <c r="P89" s="22"/>
      <c r="Q89" s="20">
        <f>'LIVRE Oficial'!J88</f>
        <v>422745</v>
      </c>
      <c r="R89" s="73" t="str">
        <f>'LIVRE Oficial'!P88</f>
        <v> </v>
      </c>
      <c r="S89" s="73" t="str">
        <f>'LIVRE Oficial'!Q88</f>
        <v> </v>
      </c>
      <c r="T89" s="73" t="str">
        <f>'LIVRE Oficial'!R88</f>
        <v> </v>
      </c>
      <c r="U89" s="20" t="e">
        <f>'LIVRE Oficial'!S88</f>
        <v>#VALUE!</v>
      </c>
      <c r="V89" s="73" t="str">
        <f>'LIVRE Oficial'!K88</f>
        <v> </v>
      </c>
      <c r="W89" s="1"/>
    </row>
    <row r="90" spans="2:23" ht="15" customHeight="1">
      <c r="B90" s="18">
        <f>'LIVRE Oficial'!A88</f>
        <v>88</v>
      </c>
      <c r="C90" s="68">
        <f>'LIVRE Oficial'!B89</f>
        <v>46093.7971412037</v>
      </c>
      <c r="D90" s="21" t="str">
        <f>'LIVRE Oficial'!C89</f>
        <v>Daniela Mochon</v>
      </c>
      <c r="E90" s="67" t="str">
        <f>'LIVRE Oficial'!D89</f>
        <v>Comercial</v>
      </c>
      <c r="F90" s="21">
        <f>'LIVRE Oficial'!E89</f>
        <v>0</v>
      </c>
      <c r="G90" s="21" t="str">
        <f>'LIVRE Oficial'!I89</f>
        <v>Funil</v>
      </c>
      <c r="H90" s="35" t="str">
        <f>'LIVRE Oficial'!F89</f>
        <v>Entregue</v>
      </c>
      <c r="I90" s="71">
        <f>'LIVRE Oficial'!G89</f>
        <v>1</v>
      </c>
      <c r="J90" s="21" t="str">
        <f>'LIVRE Oficial'!H89</f>
        <v>Melhoria</v>
      </c>
      <c r="K90" s="66" t="str">
        <f>'LIVRE Oficial'!L89</f>
        <v>CONTRATO | Desenvolver JOB para que apenas 5 tipos de contratos gerem a Renovação</v>
      </c>
      <c r="L90" s="29">
        <f>'LIVRE Oficial'!V89</f>
        <v>0</v>
      </c>
      <c r="M90" s="21">
        <f>'LIVRE Oficial'!U89</f>
        <v>0</v>
      </c>
      <c r="N90" s="21">
        <f>'LIVRE Oficial'!M89</f>
        <v>0</v>
      </c>
      <c r="O90" s="22"/>
      <c r="P90" s="22"/>
      <c r="Q90" s="20">
        <f>'LIVRE Oficial'!J89</f>
        <v>428396</v>
      </c>
      <c r="R90" s="73">
        <f>'LIVRE Oficial'!P89</f>
        <v>1</v>
      </c>
      <c r="S90" s="73">
        <f>'LIVRE Oficial'!Q89</f>
        <v>1</v>
      </c>
      <c r="T90" s="73">
        <f>'LIVRE Oficial'!R89</f>
        <v>1</v>
      </c>
      <c r="U90" s="20">
        <f>'LIVRE Oficial'!S89</f>
        <v>3</v>
      </c>
      <c r="V90" s="73">
        <f>'LIVRE Oficial'!K89</f>
        <v>19</v>
      </c>
      <c r="W90" s="1"/>
    </row>
    <row r="91" spans="2:23" ht="15" customHeight="1">
      <c r="B91" s="18">
        <f>'LIVRE Oficial'!A89</f>
        <v>89</v>
      </c>
      <c r="C91" s="68">
        <f>'LIVRE Oficial'!B90</f>
        <v>46094.4375</v>
      </c>
      <c r="D91" s="21" t="str">
        <f>'LIVRE Oficial'!C90</f>
        <v>Daniela Mochon</v>
      </c>
      <c r="E91" s="67" t="str">
        <f>'LIVRE Oficial'!D90</f>
        <v>Comercial</v>
      </c>
      <c r="F91" s="21">
        <f>'LIVRE Oficial'!E90</f>
        <v>0</v>
      </c>
      <c r="G91" s="21" t="str">
        <f>'LIVRE Oficial'!I90</f>
        <v>Funil</v>
      </c>
      <c r="H91" s="35" t="str">
        <f>'LIVRE Oficial'!F90</f>
        <v>Entregue</v>
      </c>
      <c r="I91" s="71">
        <f>'LIVRE Oficial'!G90</f>
        <v>3</v>
      </c>
      <c r="J91" s="21" t="str">
        <f>'LIVRE Oficial'!H90</f>
        <v>Melhoria</v>
      </c>
      <c r="K91" s="66" t="str">
        <f>'LIVRE Oficial'!L90</f>
        <v>LEAD | Investigar falha na conversão automática de Lead</v>
      </c>
      <c r="L91" s="29">
        <f>'LIVRE Oficial'!V90</f>
        <v>0</v>
      </c>
      <c r="M91" s="21">
        <f>'LIVRE Oficial'!U90</f>
        <v>0</v>
      </c>
      <c r="N91" s="21">
        <f>'LIVRE Oficial'!M90</f>
        <v>0</v>
      </c>
      <c r="O91" s="22"/>
      <c r="P91" s="22"/>
      <c r="Q91" s="20">
        <f>'LIVRE Oficial'!J90</f>
        <v>434664</v>
      </c>
      <c r="R91" s="73">
        <f>'LIVRE Oficial'!P90</f>
        <v>3</v>
      </c>
      <c r="S91" s="73">
        <f>'LIVRE Oficial'!Q90</f>
        <v>2</v>
      </c>
      <c r="T91" s="73">
        <f>'LIVRE Oficial'!R90</f>
        <v>2</v>
      </c>
      <c r="U91" s="20">
        <f>'LIVRE Oficial'!S90</f>
        <v>7</v>
      </c>
      <c r="V91" s="73">
        <f>'LIVRE Oficial'!K90</f>
        <v>10</v>
      </c>
      <c r="W91" s="1"/>
    </row>
    <row r="92" spans="2:23" ht="15" customHeight="1">
      <c r="B92" s="18">
        <f>'LIVRE Oficial'!A90</f>
        <v>90</v>
      </c>
      <c r="C92" s="68">
        <f>'LIVRE Oficial'!B91</f>
        <v>46099.615949074076</v>
      </c>
      <c r="D92" s="21" t="str">
        <f>'LIVRE Oficial'!C91</f>
        <v>Daniela Mochon</v>
      </c>
      <c r="E92" s="67" t="str">
        <f>'LIVRE Oficial'!D91</f>
        <v>Comercial</v>
      </c>
      <c r="F92" s="21">
        <f>'LIVRE Oficial'!E91</f>
        <v>0</v>
      </c>
      <c r="G92" s="21" t="str">
        <f>'LIVRE Oficial'!I91</f>
        <v>Funil</v>
      </c>
      <c r="H92" s="35" t="str">
        <f>'LIVRE Oficial'!F91</f>
        <v>Entregue</v>
      </c>
      <c r="I92" s="71">
        <f>'LIVRE Oficial'!G91</f>
        <v>3</v>
      </c>
      <c r="J92" s="21" t="str">
        <f>'LIVRE Oficial'!H91</f>
        <v>Melhoria</v>
      </c>
      <c r="K92" s="66" t="str">
        <f>'LIVRE Oficial'!L91</f>
        <v>CONTRATO | Integração com Plataforma de Crédito "Tipo de Contrato"</v>
      </c>
      <c r="L92" s="29">
        <f>'LIVRE Oficial'!V91</f>
        <v>0</v>
      </c>
      <c r="M92" s="21">
        <f>'LIVRE Oficial'!U91</f>
        <v>0</v>
      </c>
      <c r="N92" s="21">
        <f>'LIVRE Oficial'!M91</f>
        <v>0</v>
      </c>
      <c r="O92" s="22"/>
      <c r="P92" s="22"/>
      <c r="Q92" s="20">
        <f>'LIVRE Oficial'!J91</f>
        <v>457607</v>
      </c>
      <c r="R92" s="73">
        <f>'LIVRE Oficial'!P91</f>
        <v>3</v>
      </c>
      <c r="S92" s="73">
        <f>'LIVRE Oficial'!Q91</f>
        <v>2</v>
      </c>
      <c r="T92" s="73">
        <f>'LIVRE Oficial'!R91</f>
        <v>2</v>
      </c>
      <c r="U92" s="20">
        <f>'LIVRE Oficial'!S91</f>
        <v>7</v>
      </c>
      <c r="V92" s="73">
        <f>'LIVRE Oficial'!K91</f>
        <v>10</v>
      </c>
      <c r="W92" s="1"/>
    </row>
    <row r="93" spans="2:23" ht="15" customHeight="1">
      <c r="B93" s="18">
        <f>'LIVRE Oficial'!A91</f>
        <v>91</v>
      </c>
      <c r="C93" s="68">
        <f>'LIVRE Oficial'!B92</f>
        <v>46060.913506944446</v>
      </c>
      <c r="D93" s="21" t="str">
        <f>'LIVRE Oficial'!C92</f>
        <v>Daniela Mochon</v>
      </c>
      <c r="E93" s="67" t="str">
        <f>'LIVRE Oficial'!D92</f>
        <v>Comercial</v>
      </c>
      <c r="F93" s="21">
        <f>'LIVRE Oficial'!E92</f>
        <v>0</v>
      </c>
      <c r="G93" s="21" t="str">
        <f>'LIVRE Oficial'!I92</f>
        <v>Funil</v>
      </c>
      <c r="H93" s="35" t="str">
        <f>'LIVRE Oficial'!F92</f>
        <v>Entregue</v>
      </c>
      <c r="I93" s="71">
        <f>'LIVRE Oficial'!G92</f>
        <v>3</v>
      </c>
      <c r="J93" s="21" t="str">
        <f>'LIVRE Oficial'!H92</f>
        <v>Melhoria</v>
      </c>
      <c r="K93" s="66" t="str">
        <f>'LIVRE Oficial'!L92</f>
        <v>OPORTUNIDADE | Desenvolvimento de Subfases para oportunidades de Renovação</v>
      </c>
      <c r="L93" s="29">
        <f>'LIVRE Oficial'!V92</f>
        <v>0</v>
      </c>
      <c r="M93" s="21">
        <f>'LIVRE Oficial'!U92</f>
        <v>0</v>
      </c>
      <c r="N93" s="21">
        <f>'LIVRE Oficial'!M92</f>
        <v>0</v>
      </c>
      <c r="O93" s="22"/>
      <c r="P93" s="22"/>
      <c r="Q93" s="20">
        <f>'LIVRE Oficial'!J92</f>
        <v>394012</v>
      </c>
      <c r="R93" s="73">
        <f>'LIVRE Oficial'!P92</f>
        <v>3</v>
      </c>
      <c r="S93" s="73">
        <f>'LIVRE Oficial'!Q92</f>
        <v>3</v>
      </c>
      <c r="T93" s="73">
        <f>'LIVRE Oficial'!R92</f>
        <v>3</v>
      </c>
      <c r="U93" s="20">
        <f>'LIVRE Oficial'!S92</f>
        <v>9</v>
      </c>
      <c r="V93" s="73">
        <f>'LIVRE Oficial'!K92</f>
        <v>4</v>
      </c>
      <c r="W93" s="1"/>
    </row>
    <row r="94" spans="2:23" ht="15" customHeight="1">
      <c r="B94" s="18">
        <f>'LIVRE Oficial'!A92</f>
        <v>92</v>
      </c>
      <c r="C94" s="68">
        <f>'LIVRE Oficial'!B93</f>
        <v>46060.946875000001</v>
      </c>
      <c r="D94" s="21" t="str">
        <f>'LIVRE Oficial'!C93</f>
        <v>Daniela Mochon</v>
      </c>
      <c r="E94" s="67" t="str">
        <f>'LIVRE Oficial'!D93</f>
        <v>Comercial</v>
      </c>
      <c r="F94" s="21">
        <f>'LIVRE Oficial'!E93</f>
        <v>0</v>
      </c>
      <c r="G94" s="21" t="str">
        <f>'LIVRE Oficial'!I93</f>
        <v>Funil</v>
      </c>
      <c r="H94" s="35" t="str">
        <f>'LIVRE Oficial'!F93</f>
        <v>Entregue</v>
      </c>
      <c r="I94" s="71">
        <f>'LIVRE Oficial'!G93</f>
        <v>1</v>
      </c>
      <c r="J94" s="21" t="str">
        <f>'LIVRE Oficial'!H93</f>
        <v>Melhoria</v>
      </c>
      <c r="K94" s="66" t="str">
        <f>'LIVRE Oficial'!L93</f>
        <v>CONTRATO | Desenvolver remoção da trava de Cadastro SF x Assinatura</v>
      </c>
      <c r="L94" s="29">
        <f>'LIVRE Oficial'!V93</f>
        <v>0</v>
      </c>
      <c r="M94" s="21">
        <f>'LIVRE Oficial'!U93</f>
        <v>0</v>
      </c>
      <c r="N94" s="21">
        <f>'LIVRE Oficial'!M93</f>
        <v>0</v>
      </c>
      <c r="O94" s="22"/>
      <c r="P94" s="22"/>
      <c r="Q94" s="20">
        <f>'LIVRE Oficial'!J93</f>
        <v>394013</v>
      </c>
      <c r="R94" s="73">
        <f>'LIVRE Oficial'!P93</f>
        <v>2</v>
      </c>
      <c r="S94" s="73">
        <f>'LIVRE Oficial'!Q93</f>
        <v>1</v>
      </c>
      <c r="T94" s="73">
        <f>'LIVRE Oficial'!R93</f>
        <v>2</v>
      </c>
      <c r="U94" s="20">
        <f>'LIVRE Oficial'!S93</f>
        <v>5</v>
      </c>
      <c r="V94" s="73">
        <f>'LIVRE Oficial'!K93</f>
        <v>13</v>
      </c>
      <c r="W94" s="1"/>
    </row>
    <row r="95" spans="2:23" ht="15" customHeight="1">
      <c r="B95" s="18">
        <f>'LIVRE Oficial'!A93</f>
        <v>93</v>
      </c>
      <c r="C95" s="68">
        <f>'LIVRE Oficial'!B94</f>
        <v>46104.602361111109</v>
      </c>
      <c r="D95" s="21" t="str">
        <f>'LIVRE Oficial'!C94</f>
        <v>Daniela Mochon</v>
      </c>
      <c r="E95" s="67" t="str">
        <f>'LIVRE Oficial'!D94</f>
        <v>Comercial</v>
      </c>
      <c r="F95" s="21">
        <f>'LIVRE Oficial'!E94</f>
        <v>0</v>
      </c>
      <c r="G95" s="21" t="str">
        <f>'LIVRE Oficial'!I94</f>
        <v>Funil</v>
      </c>
      <c r="H95" s="35" t="str">
        <f>'LIVRE Oficial'!F94</f>
        <v>Entregue</v>
      </c>
      <c r="I95" s="71">
        <f>'LIVRE Oficial'!G94</f>
        <v>1</v>
      </c>
      <c r="J95" s="21" t="str">
        <f>'LIVRE Oficial'!H94</f>
        <v>Melhoria</v>
      </c>
      <c r="K95" s="66" t="str">
        <f>'LIVRE Oficial'!L94</f>
        <v>OPORTUNIDADE | Tratar descrição de LOG para Pedido de Compra</v>
      </c>
      <c r="L95" s="29">
        <f>'LIVRE Oficial'!V94</f>
        <v>0</v>
      </c>
      <c r="M95" s="21">
        <f>'LIVRE Oficial'!U94</f>
        <v>0</v>
      </c>
      <c r="N95" s="21">
        <f>'LIVRE Oficial'!M94</f>
        <v>0</v>
      </c>
      <c r="O95" s="22"/>
      <c r="P95" s="22"/>
      <c r="Q95" s="20">
        <f>'LIVRE Oficial'!J94</f>
        <v>484927</v>
      </c>
      <c r="R95" s="73">
        <f>'LIVRE Oficial'!P94</f>
        <v>1</v>
      </c>
      <c r="S95" s="73">
        <f>'LIVRE Oficial'!Q94</f>
        <v>1</v>
      </c>
      <c r="T95" s="73">
        <f>'LIVRE Oficial'!R94</f>
        <v>1</v>
      </c>
      <c r="U95" s="20">
        <f>'LIVRE Oficial'!S94</f>
        <v>3</v>
      </c>
      <c r="V95" s="73">
        <f>'LIVRE Oficial'!K94</f>
        <v>21</v>
      </c>
      <c r="W95" s="1"/>
    </row>
    <row r="96" spans="2:23" ht="15" customHeight="1">
      <c r="B96" s="18">
        <f>'LIVRE Oficial'!A94</f>
        <v>94</v>
      </c>
      <c r="C96" s="68">
        <f>'LIVRE Oficial'!B95</f>
        <v>46118.657905092594</v>
      </c>
      <c r="D96" s="21" t="str">
        <f>'LIVRE Oficial'!C95</f>
        <v>Daniela Mochon</v>
      </c>
      <c r="E96" s="67" t="str">
        <f>'LIVRE Oficial'!D95</f>
        <v>Comercial</v>
      </c>
      <c r="F96" s="21">
        <f>'LIVRE Oficial'!E95</f>
        <v>0</v>
      </c>
      <c r="G96" s="21" t="str">
        <f>'LIVRE Oficial'!I95</f>
        <v>Funil</v>
      </c>
      <c r="H96" s="35" t="str">
        <f>'LIVRE Oficial'!F95</f>
        <v>Entregue</v>
      </c>
      <c r="I96" s="71" t="str">
        <f>'LIVRE Oficial'!G95</f>
        <v> </v>
      </c>
      <c r="J96" s="21" t="str">
        <f>'LIVRE Oficial'!H95</f>
        <v>Melhoria</v>
      </c>
      <c r="K96" s="66" t="str">
        <f>'LIVRE Oficial'!L95</f>
        <v>LEAD | Melhoria no processo de Consulta SERASA + Log</v>
      </c>
      <c r="L96" s="29">
        <f>'LIVRE Oficial'!V95</f>
        <v>0</v>
      </c>
      <c r="M96" s="21">
        <f>'LIVRE Oficial'!U95</f>
        <v>0</v>
      </c>
      <c r="N96" s="21">
        <f>'LIVRE Oficial'!M95</f>
        <v>0</v>
      </c>
      <c r="O96" s="22"/>
      <c r="P96" s="22"/>
      <c r="Q96" s="20">
        <f>'LIVRE Oficial'!J95</f>
        <v>534334</v>
      </c>
      <c r="R96" s="73" t="str">
        <f>'LIVRE Oficial'!P95</f>
        <v> </v>
      </c>
      <c r="S96" s="73" t="str">
        <f>'LIVRE Oficial'!Q95</f>
        <v> </v>
      </c>
      <c r="T96" s="73" t="str">
        <f>'LIVRE Oficial'!R95</f>
        <v> </v>
      </c>
      <c r="U96" s="20" t="e">
        <f>'LIVRE Oficial'!S95</f>
        <v>#VALUE!</v>
      </c>
      <c r="V96" s="73" t="str">
        <f>'LIVRE Oficial'!K95</f>
        <v> </v>
      </c>
      <c r="W96" s="1"/>
    </row>
    <row r="97" spans="2:23" ht="15" customHeight="1">
      <c r="B97" s="18">
        <f>'LIVRE Oficial'!A95</f>
        <v>95</v>
      </c>
      <c r="C97" s="68">
        <f>'LIVRE Oficial'!B96</f>
        <v>46120.54283564815</v>
      </c>
      <c r="D97" s="21" t="str">
        <f>'LIVRE Oficial'!C96</f>
        <v>Daniela Mochon</v>
      </c>
      <c r="E97" s="67" t="str">
        <f>'LIVRE Oficial'!D96</f>
        <v>Comercial</v>
      </c>
      <c r="F97" s="21">
        <f>'LIVRE Oficial'!E96</f>
        <v>0</v>
      </c>
      <c r="G97" s="21" t="str">
        <f>'LIVRE Oficial'!I96</f>
        <v>Funil</v>
      </c>
      <c r="H97" s="35" t="str">
        <f>'LIVRE Oficial'!F96</f>
        <v>Entregue</v>
      </c>
      <c r="I97" s="71">
        <f>'LIVRE Oficial'!G96</f>
        <v>1</v>
      </c>
      <c r="J97" s="21" t="str">
        <f>'LIVRE Oficial'!H96</f>
        <v>Melhoria</v>
      </c>
      <c r="K97" s="66" t="str">
        <f>'LIVRE Oficial'!L96</f>
        <v>CONTA | Desenvolver Alteração Nome do Cliente após Subida de Nova Proposta</v>
      </c>
      <c r="L97" s="29">
        <f>'LIVRE Oficial'!V96</f>
        <v>0</v>
      </c>
      <c r="M97" s="21">
        <f>'LIVRE Oficial'!U96</f>
        <v>0</v>
      </c>
      <c r="N97" s="21">
        <f>'LIVRE Oficial'!M96</f>
        <v>0</v>
      </c>
      <c r="O97" s="22"/>
      <c r="P97" s="22"/>
      <c r="Q97" s="20">
        <f>'LIVRE Oficial'!J96</f>
        <v>539549</v>
      </c>
      <c r="R97" s="73">
        <f>'LIVRE Oficial'!P96</f>
        <v>2</v>
      </c>
      <c r="S97" s="73">
        <f>'LIVRE Oficial'!Q96</f>
        <v>1</v>
      </c>
      <c r="T97" s="73">
        <f>'LIVRE Oficial'!R96</f>
        <v>2</v>
      </c>
      <c r="U97" s="20">
        <f>'LIVRE Oficial'!S96</f>
        <v>5</v>
      </c>
      <c r="V97" s="73">
        <f>'LIVRE Oficial'!K96</f>
        <v>12</v>
      </c>
      <c r="W97" s="1"/>
    </row>
    <row r="98" spans="2:23" ht="15" customHeight="1">
      <c r="B98" s="18">
        <f>'LIVRE Oficial'!A96</f>
        <v>96</v>
      </c>
      <c r="C98" s="68">
        <f>'LIVRE Oficial'!B97</f>
        <v>46092.592291666668</v>
      </c>
      <c r="D98" s="21" t="str">
        <f>'LIVRE Oficial'!C97</f>
        <v>Daniela Mochon</v>
      </c>
      <c r="E98" s="67" t="str">
        <f>'LIVRE Oficial'!D97</f>
        <v>Comercial</v>
      </c>
      <c r="F98" s="21">
        <f>'LIVRE Oficial'!E97</f>
        <v>0</v>
      </c>
      <c r="G98" s="21" t="str">
        <f>'LIVRE Oficial'!I97</f>
        <v>Funil</v>
      </c>
      <c r="H98" s="35" t="str">
        <f>'LIVRE Oficial'!F97</f>
        <v>Entregue</v>
      </c>
      <c r="I98" s="71">
        <f>'LIVRE Oficial'!G97</f>
        <v>2</v>
      </c>
      <c r="J98" s="21" t="str">
        <f>'LIVRE Oficial'!H97</f>
        <v>Melhoria</v>
      </c>
      <c r="K98" s="66" t="str">
        <f>'LIVRE Oficial'!L97</f>
        <v>OPORTUNIDADE | Remover perfis do bloqueio de edição de campos na Oportunidade.</v>
      </c>
      <c r="L98" s="29">
        <f>'LIVRE Oficial'!V97</f>
        <v>0</v>
      </c>
      <c r="M98" s="21">
        <f>'LIVRE Oficial'!U97</f>
        <v>0</v>
      </c>
      <c r="N98" s="21">
        <f>'LIVRE Oficial'!M97</f>
        <v>0</v>
      </c>
      <c r="O98" s="22"/>
      <c r="P98" s="22"/>
      <c r="Q98" s="20">
        <f>'LIVRE Oficial'!J97</f>
        <v>417288</v>
      </c>
      <c r="R98" s="73">
        <f>'LIVRE Oficial'!P97</f>
        <v>3</v>
      </c>
      <c r="S98" s="73">
        <f>'LIVRE Oficial'!Q97</f>
        <v>3</v>
      </c>
      <c r="T98" s="73">
        <f>'LIVRE Oficial'!R97</f>
        <v>3</v>
      </c>
      <c r="U98" s="20">
        <f>'LIVRE Oficial'!S97</f>
        <v>9</v>
      </c>
      <c r="V98" s="73">
        <f>'LIVRE Oficial'!K97</f>
        <v>2</v>
      </c>
      <c r="W98" s="1"/>
    </row>
    <row r="99" spans="2:23" ht="15" customHeight="1">
      <c r="B99" s="18">
        <f>'LIVRE Oficial'!A97</f>
        <v>97</v>
      </c>
      <c r="C99" s="68">
        <f>'LIVRE Oficial'!B98</f>
        <v>46043.471875000003</v>
      </c>
      <c r="D99" s="21" t="str">
        <f>'LIVRE Oficial'!C98</f>
        <v>Daniela Mochon</v>
      </c>
      <c r="E99" s="67" t="str">
        <f>'LIVRE Oficial'!D98</f>
        <v>Comercial</v>
      </c>
      <c r="F99" s="21">
        <f>'LIVRE Oficial'!E98</f>
        <v>0</v>
      </c>
      <c r="G99" s="21" t="str">
        <f>'LIVRE Oficial'!I98</f>
        <v>Funil</v>
      </c>
      <c r="H99" s="35" t="str">
        <f>'LIVRE Oficial'!F98</f>
        <v>Entregue</v>
      </c>
      <c r="I99" s="71">
        <f>'LIVRE Oficial'!G98</f>
        <v>2</v>
      </c>
      <c r="J99" s="21" t="str">
        <f>'LIVRE Oficial'!H98</f>
        <v>Melhoria</v>
      </c>
      <c r="K99" s="66" t="str">
        <f>'LIVRE Oficial'!L98</f>
        <v>CONTRATO | Tornar FirstName não obrigatório na criação de Contrato</v>
      </c>
      <c r="L99" s="29">
        <f>'LIVRE Oficial'!V98</f>
        <v>0</v>
      </c>
      <c r="M99" s="21">
        <f>'LIVRE Oficial'!U98</f>
        <v>0</v>
      </c>
      <c r="N99" s="21">
        <f>'LIVRE Oficial'!M98</f>
        <v>0</v>
      </c>
      <c r="O99" s="22"/>
      <c r="P99" s="22"/>
      <c r="Q99" s="20">
        <f>'LIVRE Oficial'!J98</f>
        <v>389294</v>
      </c>
      <c r="R99" s="73">
        <f>'LIVRE Oficial'!P98</f>
        <v>3</v>
      </c>
      <c r="S99" s="73">
        <f>'LIVRE Oficial'!Q98</f>
        <v>3</v>
      </c>
      <c r="T99" s="73">
        <f>'LIVRE Oficial'!R98</f>
        <v>3</v>
      </c>
      <c r="U99" s="20">
        <f>'LIVRE Oficial'!S98</f>
        <v>9</v>
      </c>
      <c r="V99" s="73">
        <f>'LIVRE Oficial'!K98</f>
        <v>2</v>
      </c>
      <c r="W99" s="1"/>
    </row>
    <row r="100" spans="2:23" ht="15" customHeight="1">
      <c r="B100" s="18">
        <f>'LIVRE Oficial'!A98</f>
        <v>98</v>
      </c>
      <c r="C100" s="68">
        <f>'LIVRE Oficial'!B99</f>
        <v>46036.659837962965</v>
      </c>
      <c r="D100" s="21" t="str">
        <f>'LIVRE Oficial'!C99</f>
        <v>Daniela Mochon</v>
      </c>
      <c r="E100" s="67" t="str">
        <f>'LIVRE Oficial'!D99</f>
        <v>Comercial</v>
      </c>
      <c r="F100" s="21">
        <f>'LIVRE Oficial'!E99</f>
        <v>0</v>
      </c>
      <c r="G100" s="21" t="str">
        <f>'LIVRE Oficial'!I99</f>
        <v>Funil</v>
      </c>
      <c r="H100" s="35" t="str">
        <f>'LIVRE Oficial'!F99</f>
        <v>Entregue</v>
      </c>
      <c r="I100" s="71">
        <f>'LIVRE Oficial'!G99</f>
        <v>1</v>
      </c>
      <c r="J100" s="21" t="str">
        <f>'LIVRE Oficial'!H99</f>
        <v>Melhoria</v>
      </c>
      <c r="K100" s="66" t="str">
        <f>'LIVRE Oficial'!L99</f>
        <v>OPORTUNIDADE | Desenvolver Exibição do Ano/Modelo na Oportunidade</v>
      </c>
      <c r="L100" s="29">
        <f>'LIVRE Oficial'!V99</f>
        <v>0</v>
      </c>
      <c r="M100" s="21">
        <f>'LIVRE Oficial'!U99</f>
        <v>0</v>
      </c>
      <c r="N100" s="21">
        <f>'LIVRE Oficial'!M99</f>
        <v>0</v>
      </c>
      <c r="O100" s="22"/>
      <c r="P100" s="22"/>
      <c r="Q100" s="20">
        <f>'LIVRE Oficial'!J99</f>
        <v>387493</v>
      </c>
      <c r="R100" s="73">
        <f>'LIVRE Oficial'!P99</f>
        <v>1</v>
      </c>
      <c r="S100" s="73">
        <f>'LIVRE Oficial'!Q99</f>
        <v>1</v>
      </c>
      <c r="T100" s="73">
        <f>'LIVRE Oficial'!R99</f>
        <v>1</v>
      </c>
      <c r="U100" s="20">
        <f>'LIVRE Oficial'!S99</f>
        <v>3</v>
      </c>
      <c r="V100" s="73">
        <f>'LIVRE Oficial'!K99</f>
        <v>20</v>
      </c>
      <c r="W100" s="1"/>
    </row>
    <row r="101" spans="2:23" ht="15" customHeight="1">
      <c r="B101" s="18">
        <f>'LIVRE Oficial'!A99</f>
        <v>99</v>
      </c>
      <c r="C101" s="68">
        <f>'LIVRE Oficial'!B100</f>
        <v>46038.580081018517</v>
      </c>
      <c r="D101" s="21" t="str">
        <f>'LIVRE Oficial'!C100</f>
        <v>Daniela Mochon</v>
      </c>
      <c r="E101" s="67" t="str">
        <f>'LIVRE Oficial'!D100</f>
        <v>Comercial</v>
      </c>
      <c r="F101" s="21">
        <f>'LIVRE Oficial'!E100</f>
        <v>0</v>
      </c>
      <c r="G101" s="21" t="str">
        <f>'LIVRE Oficial'!I100</f>
        <v>Funil</v>
      </c>
      <c r="H101" s="35" t="str">
        <f>'LIVRE Oficial'!F100</f>
        <v>Entregue</v>
      </c>
      <c r="I101" s="71">
        <f>'LIVRE Oficial'!G100</f>
        <v>3</v>
      </c>
      <c r="J101" s="21" t="str">
        <f>'LIVRE Oficial'!H100</f>
        <v>Melhoria</v>
      </c>
      <c r="K101" s="66" t="str">
        <f>'LIVRE Oficial'!L100</f>
        <v>LEAD | Desenvolver Reencaminhamento de Leads “Lost” para SDR com Validação por Cidade</v>
      </c>
      <c r="L101" s="29">
        <f>'LIVRE Oficial'!V100</f>
        <v>0</v>
      </c>
      <c r="M101" s="21">
        <f>'LIVRE Oficial'!U100</f>
        <v>0</v>
      </c>
      <c r="N101" s="21">
        <f>'LIVRE Oficial'!M100</f>
        <v>0</v>
      </c>
      <c r="O101" s="22"/>
      <c r="P101" s="22"/>
      <c r="Q101" s="20">
        <f>'LIVRE Oficial'!J100</f>
        <v>388244</v>
      </c>
      <c r="R101" s="73">
        <f>'LIVRE Oficial'!P100</f>
        <v>3</v>
      </c>
      <c r="S101" s="73">
        <f>'LIVRE Oficial'!Q100</f>
        <v>3</v>
      </c>
      <c r="T101" s="73">
        <f>'LIVRE Oficial'!R100</f>
        <v>3</v>
      </c>
      <c r="U101" s="20">
        <f>'LIVRE Oficial'!S100</f>
        <v>9</v>
      </c>
      <c r="V101" s="73">
        <f>'LIVRE Oficial'!K100</f>
        <v>5</v>
      </c>
      <c r="W101" s="1"/>
    </row>
    <row r="102" spans="2:23" ht="15" customHeight="1">
      <c r="B102" s="18">
        <f>'LIVRE Oficial'!A100</f>
        <v>100</v>
      </c>
      <c r="C102" s="68">
        <f>'LIVRE Oficial'!B101</f>
        <v>46038.611921296295</v>
      </c>
      <c r="D102" s="21" t="str">
        <f>'LIVRE Oficial'!C101</f>
        <v>Daniela Mochon</v>
      </c>
      <c r="E102" s="67" t="str">
        <f>'LIVRE Oficial'!D101</f>
        <v>Comercial</v>
      </c>
      <c r="F102" s="21">
        <f>'LIVRE Oficial'!E101</f>
        <v>0</v>
      </c>
      <c r="G102" s="21" t="str">
        <f>'LIVRE Oficial'!I101</f>
        <v>Funil</v>
      </c>
      <c r="H102" s="35" t="str">
        <f>'LIVRE Oficial'!F101</f>
        <v>Entregue</v>
      </c>
      <c r="I102" s="71">
        <f>'LIVRE Oficial'!G101</f>
        <v>2</v>
      </c>
      <c r="J102" s="21" t="str">
        <f>'LIVRE Oficial'!H101</f>
        <v>Melhoria</v>
      </c>
      <c r="K102" s="66" t="str">
        <f>'LIVRE Oficial'!L101</f>
        <v>LEAD | Desenvolvimento de Correção de Cadastro de Cidades via Integração</v>
      </c>
      <c r="L102" s="29">
        <f>'LIVRE Oficial'!V101</f>
        <v>0</v>
      </c>
      <c r="M102" s="21">
        <f>'LIVRE Oficial'!U101</f>
        <v>0</v>
      </c>
      <c r="N102" s="21">
        <f>'LIVRE Oficial'!M101</f>
        <v>0</v>
      </c>
      <c r="O102" s="22"/>
      <c r="P102" s="22"/>
      <c r="Q102" s="20">
        <f>'LIVRE Oficial'!J101</f>
        <v>388271</v>
      </c>
      <c r="R102" s="73">
        <f>'LIVRE Oficial'!P101</f>
        <v>3</v>
      </c>
      <c r="S102" s="73">
        <f>'LIVRE Oficial'!Q101</f>
        <v>3</v>
      </c>
      <c r="T102" s="73">
        <f>'LIVRE Oficial'!R101</f>
        <v>3</v>
      </c>
      <c r="U102" s="20">
        <f>'LIVRE Oficial'!S101</f>
        <v>9</v>
      </c>
      <c r="V102" s="73">
        <f>'LIVRE Oficial'!K101</f>
        <v>2</v>
      </c>
      <c r="W102" s="1"/>
    </row>
    <row r="103" spans="2:23" ht="15" customHeight="1">
      <c r="B103" s="18">
        <f>'LIVRE Oficial'!A101</f>
        <v>101</v>
      </c>
      <c r="C103" s="68">
        <f>'LIVRE Oficial'!B102</f>
        <v>46038.612430555557</v>
      </c>
      <c r="D103" s="21" t="str">
        <f>'LIVRE Oficial'!C102</f>
        <v>Daniela Mochon</v>
      </c>
      <c r="E103" s="67" t="str">
        <f>'LIVRE Oficial'!D102</f>
        <v>Comercial</v>
      </c>
      <c r="F103" s="21">
        <f>'LIVRE Oficial'!E102</f>
        <v>0</v>
      </c>
      <c r="G103" s="21" t="str">
        <f>'LIVRE Oficial'!I102</f>
        <v>Funil</v>
      </c>
      <c r="H103" s="35" t="str">
        <f>'LIVRE Oficial'!F102</f>
        <v>Entregue</v>
      </c>
      <c r="I103" s="71">
        <f>'LIVRE Oficial'!G102</f>
        <v>1</v>
      </c>
      <c r="J103" s="21" t="str">
        <f>'LIVRE Oficial'!H102</f>
        <v>Melhoria</v>
      </c>
      <c r="K103" s="66" t="str">
        <f>'LIVRE Oficial'!L102</f>
        <v>PRODUTO | Desenvolver Ajuste de Acionamento do Flow e Análise de Atualização da UF de Emplacamento</v>
      </c>
      <c r="L103" s="29">
        <f>'LIVRE Oficial'!V102</f>
        <v>0</v>
      </c>
      <c r="M103" s="21">
        <f>'LIVRE Oficial'!U102</f>
        <v>0</v>
      </c>
      <c r="N103" s="21">
        <f>'LIVRE Oficial'!M102</f>
        <v>0</v>
      </c>
      <c r="O103" s="22"/>
      <c r="P103" s="22"/>
      <c r="Q103" s="20">
        <f>'LIVRE Oficial'!J102</f>
        <v>388272</v>
      </c>
      <c r="R103" s="73">
        <f>'LIVRE Oficial'!P102</f>
        <v>2</v>
      </c>
      <c r="S103" s="73">
        <f>'LIVRE Oficial'!Q102</f>
        <v>1</v>
      </c>
      <c r="T103" s="73">
        <f>'LIVRE Oficial'!R102</f>
        <v>2</v>
      </c>
      <c r="U103" s="20">
        <f>'LIVRE Oficial'!S102</f>
        <v>5</v>
      </c>
      <c r="V103" s="73">
        <f>'LIVRE Oficial'!K102</f>
        <v>13</v>
      </c>
      <c r="W103" s="1"/>
    </row>
    <row r="104" spans="2:23" ht="15" customHeight="1">
      <c r="B104" s="18">
        <f>'LIVRE Oficial'!A102</f>
        <v>102</v>
      </c>
      <c r="C104" s="68">
        <f>'LIVRE Oficial'!B103</f>
        <v>46049.476307870369</v>
      </c>
      <c r="D104" s="21" t="str">
        <f>'LIVRE Oficial'!C103</f>
        <v>Mário Sturlini</v>
      </c>
      <c r="E104" s="67" t="str">
        <f>'LIVRE Oficial'!D103</f>
        <v>Comercial</v>
      </c>
      <c r="F104" s="21">
        <f>'LIVRE Oficial'!E103</f>
        <v>0</v>
      </c>
      <c r="G104" s="21" t="str">
        <f>'LIVRE Oficial'!I103</f>
        <v>Funil</v>
      </c>
      <c r="H104" s="35" t="str">
        <f>'LIVRE Oficial'!F103</f>
        <v>Entregue</v>
      </c>
      <c r="I104" s="71">
        <f>'LIVRE Oficial'!G103</f>
        <v>1</v>
      </c>
      <c r="J104" s="21" t="str">
        <f>'LIVRE Oficial'!H103</f>
        <v>Melhoria</v>
      </c>
      <c r="K104" s="66" t="str">
        <f>'LIVRE Oficial'!L103</f>
        <v>REPORT | Desenvolver Alteração no Botão de Relatório - Mário Sturlini</v>
      </c>
      <c r="L104" s="29">
        <f>'LIVRE Oficial'!V103</f>
        <v>0</v>
      </c>
      <c r="M104" s="21">
        <f>'LIVRE Oficial'!U103</f>
        <v>0</v>
      </c>
      <c r="N104" s="21">
        <f>'LIVRE Oficial'!M103</f>
        <v>0</v>
      </c>
      <c r="O104" s="22"/>
      <c r="P104" s="22"/>
      <c r="Q104" s="20">
        <f>'LIVRE Oficial'!J103</f>
        <v>390676</v>
      </c>
      <c r="R104" s="73">
        <f>'LIVRE Oficial'!P103</f>
        <v>2</v>
      </c>
      <c r="S104" s="73">
        <f>'LIVRE Oficial'!Q103</f>
        <v>1</v>
      </c>
      <c r="T104" s="73">
        <f>'LIVRE Oficial'!R103</f>
        <v>2</v>
      </c>
      <c r="U104" s="20">
        <f>'LIVRE Oficial'!S103</f>
        <v>5</v>
      </c>
      <c r="V104" s="73">
        <f>'LIVRE Oficial'!K103</f>
        <v>12</v>
      </c>
      <c r="W104" s="1"/>
    </row>
    <row r="105" spans="2:23" ht="15" customHeight="1">
      <c r="B105" s="18">
        <f>'LIVRE Oficial'!A103</f>
        <v>103</v>
      </c>
      <c r="C105" s="68">
        <f>'LIVRE Oficial'!B104</f>
        <v>46057.649652777778</v>
      </c>
      <c r="D105" s="21" t="str">
        <f>'LIVRE Oficial'!C104</f>
        <v>Mário Sturlini</v>
      </c>
      <c r="E105" s="67" t="str">
        <f>'LIVRE Oficial'!D104</f>
        <v>Comercial</v>
      </c>
      <c r="F105" s="21">
        <f>'LIVRE Oficial'!E104</f>
        <v>0</v>
      </c>
      <c r="G105" s="21" t="str">
        <f>'LIVRE Oficial'!I104</f>
        <v>Funil</v>
      </c>
      <c r="H105" s="35" t="str">
        <f>'LIVRE Oficial'!F104</f>
        <v>Entregue</v>
      </c>
      <c r="I105" s="71" t="str">
        <f>'LIVRE Oficial'!G104</f>
        <v> </v>
      </c>
      <c r="J105" s="21" t="str">
        <f>'LIVRE Oficial'!H104</f>
        <v>Melhoria</v>
      </c>
      <c r="K105" s="66" t="str">
        <f>'LIVRE Oficial'!L104</f>
        <v>REPORT | Desenvolver Alteração no Botão de Relatório (Cotação Master) - Mário Sturlini</v>
      </c>
      <c r="L105" s="29">
        <f>'LIVRE Oficial'!V104</f>
        <v>0</v>
      </c>
      <c r="M105" s="21">
        <f>'LIVRE Oficial'!U104</f>
        <v>0</v>
      </c>
      <c r="N105" s="21">
        <f>'LIVRE Oficial'!M104</f>
        <v>0</v>
      </c>
      <c r="O105" s="22"/>
      <c r="P105" s="22"/>
      <c r="Q105" s="20">
        <f>'LIVRE Oficial'!J104</f>
        <v>393206</v>
      </c>
      <c r="R105" s="73" t="str">
        <f>'LIVRE Oficial'!P104</f>
        <v> </v>
      </c>
      <c r="S105" s="73" t="str">
        <f>'LIVRE Oficial'!Q104</f>
        <v> </v>
      </c>
      <c r="T105" s="73" t="str">
        <f>'LIVRE Oficial'!R104</f>
        <v> </v>
      </c>
      <c r="U105" s="20" t="e">
        <f>'LIVRE Oficial'!S104</f>
        <v>#VALUE!</v>
      </c>
      <c r="V105" s="73" t="str">
        <f>'LIVRE Oficial'!K104</f>
        <v> </v>
      </c>
      <c r="W105" s="1"/>
    </row>
    <row r="106" spans="2:23" ht="15" customHeight="1">
      <c r="B106" s="18">
        <f>'LIVRE Oficial'!A104</f>
        <v>104</v>
      </c>
      <c r="C106" s="68">
        <f>'LIVRE Oficial'!B105</f>
        <v>46058.435925925929</v>
      </c>
      <c r="D106" s="21" t="str">
        <f>'LIVRE Oficial'!C105</f>
        <v>Daniela Mochon</v>
      </c>
      <c r="E106" s="67" t="str">
        <f>'LIVRE Oficial'!D105</f>
        <v>Comercial</v>
      </c>
      <c r="F106" s="21">
        <f>'LIVRE Oficial'!E105</f>
        <v>0</v>
      </c>
      <c r="G106" s="21" t="str">
        <f>'LIVRE Oficial'!I105</f>
        <v>Funil</v>
      </c>
      <c r="H106" s="35" t="str">
        <f>'LIVRE Oficial'!F105</f>
        <v>Entregue</v>
      </c>
      <c r="I106" s="71">
        <f>'LIVRE Oficial'!G105</f>
        <v>1</v>
      </c>
      <c r="J106" s="21" t="str">
        <f>'LIVRE Oficial'!H105</f>
        <v>Melhoria</v>
      </c>
      <c r="K106" s="66" t="str">
        <f>'LIVRE Oficial'!L105</f>
        <v>OPORTUNIDADE | Regressão de estágio da Oportunidade</v>
      </c>
      <c r="L106" s="29">
        <f>'LIVRE Oficial'!V105</f>
        <v>0</v>
      </c>
      <c r="M106" s="21">
        <f>'LIVRE Oficial'!U105</f>
        <v>0</v>
      </c>
      <c r="N106" s="21">
        <f>'LIVRE Oficial'!M105</f>
        <v>0</v>
      </c>
      <c r="O106" s="22"/>
      <c r="P106" s="22"/>
      <c r="Q106" s="20">
        <f>'LIVRE Oficial'!J105</f>
        <v>393411</v>
      </c>
      <c r="R106" s="73">
        <f>'LIVRE Oficial'!P105</f>
        <v>2</v>
      </c>
      <c r="S106" s="73">
        <f>'LIVRE Oficial'!Q105</f>
        <v>1</v>
      </c>
      <c r="T106" s="73">
        <f>'LIVRE Oficial'!R105</f>
        <v>2</v>
      </c>
      <c r="U106" s="20">
        <f>'LIVRE Oficial'!S105</f>
        <v>5</v>
      </c>
      <c r="V106" s="73">
        <f>'LIVRE Oficial'!K105</f>
        <v>13</v>
      </c>
      <c r="W106" s="1"/>
    </row>
    <row r="107" spans="2:23" ht="15" customHeight="1">
      <c r="B107" s="18">
        <f>'LIVRE Oficial'!A105</f>
        <v>105</v>
      </c>
      <c r="C107" s="68">
        <f>'LIVRE Oficial'!B106</f>
        <v>46148</v>
      </c>
      <c r="D107" s="21" t="str">
        <f>'LIVRE Oficial'!C106</f>
        <v>Daniela Mochon</v>
      </c>
      <c r="E107" s="67" t="str">
        <f>'LIVRE Oficial'!D106</f>
        <v>Comercial</v>
      </c>
      <c r="F107" s="21">
        <f>'LIVRE Oficial'!E106</f>
        <v>0</v>
      </c>
      <c r="G107" s="21" t="str">
        <f>'LIVRE Oficial'!I106</f>
        <v>Funil</v>
      </c>
      <c r="H107" s="35" t="str">
        <f>'LIVRE Oficial'!F106</f>
        <v>Entregue</v>
      </c>
      <c r="I107" s="71">
        <f>'LIVRE Oficial'!G106</f>
        <v>2</v>
      </c>
      <c r="J107" s="21" t="str">
        <f>'LIVRE Oficial'!H106</f>
        <v>Melhoria</v>
      </c>
      <c r="K107" s="66" t="str">
        <f>'LIVRE Oficial'!L106</f>
        <v>OPORTUNIDADE | Desenvolver atualização do campo de Desconto via Integração​</v>
      </c>
      <c r="L107" s="29">
        <f>'LIVRE Oficial'!V106</f>
        <v>0</v>
      </c>
      <c r="M107" s="21">
        <f>'LIVRE Oficial'!U106</f>
        <v>0</v>
      </c>
      <c r="N107" s="21" t="str">
        <f>'LIVRE Oficial'!M106</f>
        <v>P</v>
      </c>
      <c r="O107" s="22"/>
      <c r="P107" s="22"/>
      <c r="Q107" s="20">
        <f>'LIVRE Oficial'!J106</f>
        <v>640903</v>
      </c>
      <c r="R107" s="73">
        <f>'LIVRE Oficial'!P106</f>
        <v>3</v>
      </c>
      <c r="S107" s="73">
        <f>'LIVRE Oficial'!Q106</f>
        <v>3</v>
      </c>
      <c r="T107" s="73">
        <f>'LIVRE Oficial'!R106</f>
        <v>3</v>
      </c>
      <c r="U107" s="20">
        <f>'LIVRE Oficial'!S106</f>
        <v>9</v>
      </c>
      <c r="V107" s="73">
        <f>'LIVRE Oficial'!K106</f>
        <v>2</v>
      </c>
      <c r="W107" s="1"/>
    </row>
    <row r="108" spans="2:23" ht="15" customHeight="1">
      <c r="B108" s="18">
        <f>'LIVRE Oficial'!A106</f>
        <v>106</v>
      </c>
      <c r="C108" s="68">
        <f>'LIVRE Oficial'!B107</f>
        <v>46083</v>
      </c>
      <c r="D108" s="21" t="str">
        <f>'LIVRE Oficial'!C107</f>
        <v>Daniela Mochon</v>
      </c>
      <c r="E108" s="67" t="str">
        <f>'LIVRE Oficial'!D107</f>
        <v>Comercial</v>
      </c>
      <c r="F108" s="21">
        <f>'LIVRE Oficial'!E107</f>
        <v>0</v>
      </c>
      <c r="G108" s="21" t="str">
        <f>'LIVRE Oficial'!I107</f>
        <v>Funil</v>
      </c>
      <c r="H108" s="35" t="str">
        <f>'LIVRE Oficial'!F107</f>
        <v>Backlog</v>
      </c>
      <c r="I108" s="71" t="str">
        <f>'LIVRE Oficial'!G107</f>
        <v> </v>
      </c>
      <c r="J108" s="21" t="str">
        <f>'LIVRE Oficial'!H107</f>
        <v>Melhoria</v>
      </c>
      <c r="K108" s="66" t="str">
        <f>'LIVRE Oficial'!L107</f>
        <v>PERFIL | Conceder acesso às informações de Fleet mantendo perfil IRIS_Gestor_Comercial_Livre</v>
      </c>
      <c r="L108" s="29">
        <f>'LIVRE Oficial'!V107</f>
        <v>0</v>
      </c>
      <c r="M108" s="21">
        <f>'LIVRE Oficial'!U107</f>
        <v>0</v>
      </c>
      <c r="N108" s="21" t="str">
        <f>'LIVRE Oficial'!M107</f>
        <v>P</v>
      </c>
      <c r="O108" s="22"/>
      <c r="P108" s="22"/>
      <c r="Q108" s="20">
        <f>'LIVRE Oficial'!J107</f>
        <v>392707</v>
      </c>
      <c r="R108" s="73" t="str">
        <f>'LIVRE Oficial'!P107</f>
        <v> </v>
      </c>
      <c r="S108" s="73" t="str">
        <f>'LIVRE Oficial'!Q107</f>
        <v> </v>
      </c>
      <c r="T108" s="73" t="str">
        <f>'LIVRE Oficial'!R107</f>
        <v> </v>
      </c>
      <c r="U108" s="20">
        <f>'LIVRE Oficial'!S107</f>
        <v>0</v>
      </c>
      <c r="V108" s="73">
        <f>'LIVRE Oficial'!K107</f>
        <v>0</v>
      </c>
      <c r="W108" s="1"/>
    </row>
    <row r="109" spans="2:23" ht="15" customHeight="1">
      <c r="B109" s="18">
        <f>'LIVRE Oficial'!A107</f>
        <v>29</v>
      </c>
      <c r="C109" s="68">
        <f>'LIVRE Oficial'!B108</f>
        <v>46153</v>
      </c>
      <c r="D109" s="21" t="str">
        <f>'LIVRE Oficial'!C108</f>
        <v>Pedro Henrique</v>
      </c>
      <c r="E109" s="67" t="str">
        <f>'LIVRE Oficial'!D108</f>
        <v>Comercial</v>
      </c>
      <c r="F109" s="21" t="str">
        <f>'LIVRE Oficial'!E108</f>
        <v>C2605-8422</v>
      </c>
      <c r="G109" s="21" t="str">
        <f>'LIVRE Oficial'!I108</f>
        <v>Funil</v>
      </c>
      <c r="H109" s="35" t="str">
        <f>'LIVRE Oficial'!F108</f>
        <v>Entregue</v>
      </c>
      <c r="I109" s="71">
        <f>'LIVRE Oficial'!G108</f>
        <v>1</v>
      </c>
      <c r="J109" s="21" t="str">
        <f>'LIVRE Oficial'!H108</f>
        <v xml:space="preserve">BUG </v>
      </c>
      <c r="K109" s="66" t="str">
        <f>'LIVRE Oficial'!L108</f>
        <v>OPORTUNIDADE | Desenvolver correção para Renovação Automática</v>
      </c>
      <c r="L109" s="29">
        <f>'LIVRE Oficial'!V108</f>
        <v>0</v>
      </c>
      <c r="M109" s="21">
        <f>'LIVRE Oficial'!U108</f>
        <v>0</v>
      </c>
      <c r="N109" s="21">
        <f>'LIVRE Oficial'!M108</f>
        <v>0</v>
      </c>
      <c r="O109" s="22"/>
      <c r="P109" s="22"/>
      <c r="Q109" s="20" t="str">
        <f>'LIVRE Oficial'!J108</f>
        <v>-</v>
      </c>
      <c r="R109" s="73">
        <f>'LIVRE Oficial'!P108</f>
        <v>1</v>
      </c>
      <c r="S109" s="73">
        <f>'LIVRE Oficial'!Q108</f>
        <v>2</v>
      </c>
      <c r="T109" s="73">
        <f>'LIVRE Oficial'!R108</f>
        <v>2</v>
      </c>
      <c r="U109" s="20">
        <f>'LIVRE Oficial'!S108</f>
        <v>5</v>
      </c>
      <c r="V109" s="73" t="str">
        <f>'LIVRE Oficial'!K108</f>
        <v>-</v>
      </c>
      <c r="W109" s="1"/>
    </row>
    <row r="110" spans="2:23" ht="15" customHeight="1">
      <c r="B110" s="18">
        <f>'LIVRE Oficial'!A108</f>
        <v>108</v>
      </c>
      <c r="C110" s="68">
        <f>'LIVRE Oficial'!B109</f>
        <v>46154</v>
      </c>
      <c r="D110" s="21" t="str">
        <f>'LIVRE Oficial'!C109</f>
        <v>Daniela Mochon</v>
      </c>
      <c r="E110" s="67" t="str">
        <f>'LIVRE Oficial'!D109</f>
        <v>Comercial</v>
      </c>
      <c r="F110" s="21">
        <f>'LIVRE Oficial'!E109</f>
        <v>0</v>
      </c>
      <c r="G110" s="21" t="str">
        <f>'LIVRE Oficial'!I109</f>
        <v>Funil</v>
      </c>
      <c r="H110" s="35" t="str">
        <f>'LIVRE Oficial'!F109</f>
        <v>Entregue</v>
      </c>
      <c r="I110" s="71">
        <f>'LIVRE Oficial'!G109</f>
        <v>2</v>
      </c>
      <c r="J110" s="21" t="str">
        <f>'LIVRE Oficial'!H109</f>
        <v>Melhoria</v>
      </c>
      <c r="K110" s="66" t="str">
        <f>'LIVRE Oficial'!L109</f>
        <v>CASO | Desenvolver na regra de criação de CASO de  não-renovação</v>
      </c>
      <c r="L110" s="29">
        <f>'LIVRE Oficial'!V109</f>
        <v>0</v>
      </c>
      <c r="M110" s="21">
        <f>'LIVRE Oficial'!U109</f>
        <v>0</v>
      </c>
      <c r="N110" s="21">
        <f>'LIVRE Oficial'!M109</f>
        <v>0</v>
      </c>
      <c r="O110" s="22"/>
      <c r="P110" s="22"/>
      <c r="Q110" s="20">
        <f>'LIVRE Oficial'!J109</f>
        <v>642989</v>
      </c>
      <c r="R110" s="73">
        <f>'LIVRE Oficial'!P109</f>
        <v>3</v>
      </c>
      <c r="S110" s="73">
        <f>'LIVRE Oficial'!Q109</f>
        <v>3</v>
      </c>
      <c r="T110" s="73">
        <f>'LIVRE Oficial'!R109</f>
        <v>3</v>
      </c>
      <c r="U110" s="20">
        <f>'LIVRE Oficial'!S109</f>
        <v>9</v>
      </c>
      <c r="V110" s="73">
        <f>'LIVRE Oficial'!K109</f>
        <v>2</v>
      </c>
    </row>
    <row r="111" spans="2:23" ht="15" customHeight="1">
      <c r="B111" s="18">
        <f>'LIVRE Oficial'!A109</f>
        <v>109</v>
      </c>
      <c r="C111" s="68">
        <f>'LIVRE Oficial'!B110</f>
        <v>46155</v>
      </c>
      <c r="D111" s="21" t="str">
        <f>'LIVRE Oficial'!C110</f>
        <v>Proativo</v>
      </c>
      <c r="E111" s="67" t="str">
        <f>'LIVRE Oficial'!D110</f>
        <v>Comercial</v>
      </c>
      <c r="F111" s="21"/>
      <c r="G111" s="21" t="str">
        <f>'LIVRE Oficial'!I110</f>
        <v>Funil</v>
      </c>
      <c r="H111" s="35" t="str">
        <f>'LIVRE Oficial'!F110</f>
        <v>Entregue</v>
      </c>
      <c r="I111" s="71">
        <f>'LIVRE Oficial'!G110</f>
        <v>0</v>
      </c>
      <c r="J111" s="21" t="str">
        <f>'LIVRE Oficial'!H110</f>
        <v xml:space="preserve">BUG </v>
      </c>
      <c r="K111" s="66" t="str">
        <f>'LIVRE Oficial'!L110</f>
        <v>OPORTUNIDADE | Desenvolver correção para BUG pós Deploy em Renovação Automática</v>
      </c>
      <c r="L111" s="29">
        <f>'LIVRE Oficial'!V110</f>
        <v>0</v>
      </c>
      <c r="M111" s="21">
        <f>'LIVRE Oficial'!U110</f>
        <v>0</v>
      </c>
      <c r="N111" s="21" t="str">
        <f>'LIVRE Oficial'!M110</f>
        <v>P</v>
      </c>
      <c r="O111" s="22" t="b">
        <v>0</v>
      </c>
      <c r="P111" s="22" t="b">
        <v>0</v>
      </c>
      <c r="Q111" s="20">
        <f>'LIVRE Oficial'!J110</f>
        <v>645061</v>
      </c>
      <c r="R111" s="73">
        <f>'LIVRE Oficial'!P110</f>
        <v>2</v>
      </c>
      <c r="S111" s="73">
        <f>'LIVRE Oficial'!Q110</f>
        <v>2</v>
      </c>
      <c r="T111" s="73">
        <f>'LIVRE Oficial'!R110</f>
        <v>2</v>
      </c>
      <c r="U111" s="20">
        <f>'LIVRE Oficial'!S110</f>
        <v>6</v>
      </c>
      <c r="V111" s="73"/>
    </row>
    <row r="112" spans="2:23" ht="15" customHeight="1">
      <c r="B112" s="18">
        <f>'LIVRE Oficial'!A110</f>
        <v>110</v>
      </c>
      <c r="C112" s="76">
        <f>'LIVRE Oficial'!B111</f>
        <v>46146</v>
      </c>
      <c r="D112" s="77" t="str">
        <f>'LIVRE Oficial'!C111</f>
        <v>Cibele</v>
      </c>
      <c r="E112" s="77" t="str">
        <f>'LIVRE Oficial'!D111</f>
        <v>Comercial</v>
      </c>
      <c r="G112" s="75" t="str">
        <f>'LIVRE Oficial'!I111</f>
        <v>Funil</v>
      </c>
      <c r="H112" s="1" t="str">
        <f>'LIVRE Oficial'!F111</f>
        <v>Entregue</v>
      </c>
      <c r="I112" s="77" t="str">
        <f>'LIVRE Oficial'!G111</f>
        <v> </v>
      </c>
      <c r="J112" s="78" t="str">
        <f>'LIVRE Oficial'!H111</f>
        <v>Melhoria</v>
      </c>
      <c r="K112" s="79" t="str">
        <f>'LIVRE Oficial'!L111</f>
        <v>PERFIL | "Atendimento Livre" precisa enxergar "Nome_do_Vendedor__c"</v>
      </c>
      <c r="L112" s="80">
        <f>'LIVRE Oficial'!V111</f>
        <v>0</v>
      </c>
      <c r="M112" s="78">
        <f>'LIVRE Oficial'!U111</f>
        <v>0</v>
      </c>
      <c r="N112" s="78" t="str">
        <f>'LIVRE Oficial'!M111</f>
        <v>P</v>
      </c>
      <c r="O112" s="81" t="b">
        <v>0</v>
      </c>
      <c r="P112" s="81" t="b">
        <v>0</v>
      </c>
      <c r="Q112" s="77">
        <f>'LIVRE Oficial'!J111</f>
        <v>640188</v>
      </c>
      <c r="R112" s="82" t="str">
        <f>'LIVRE Oficial'!P111</f>
        <v> </v>
      </c>
      <c r="S112" s="82" t="str">
        <f>'LIVRE Oficial'!Q111</f>
        <v> </v>
      </c>
      <c r="T112" s="82" t="str">
        <f>'LIVRE Oficial'!R111</f>
        <v> </v>
      </c>
      <c r="U112" s="82" t="e">
        <f>'LIVRE Oficial'!S111</f>
        <v>#VALUE!</v>
      </c>
      <c r="V112" s="82">
        <f>'LIVRE Oficial'!K111</f>
        <v>16</v>
      </c>
    </row>
    <row r="113" spans="2:22" ht="15" customHeight="1">
      <c r="B113" s="18">
        <f>'LIVRE Oficial'!A111</f>
        <v>107</v>
      </c>
      <c r="C113" s="76">
        <f>'LIVRE Oficial'!B112</f>
        <v>46162</v>
      </c>
      <c r="D113" s="77" t="str">
        <f>'LIVRE Oficial'!C112</f>
        <v>Daniela Mochon</v>
      </c>
      <c r="E113" s="77" t="str">
        <f>'LIVRE Oficial'!D112</f>
        <v>Comercial</v>
      </c>
      <c r="G113" s="75" t="str">
        <f>'LIVRE Oficial'!I112</f>
        <v>Funil</v>
      </c>
      <c r="H113" s="1" t="str">
        <f>'LIVRE Oficial'!F112</f>
        <v>Entregue</v>
      </c>
      <c r="I113" s="77">
        <f>'LIVRE Oficial'!G112</f>
        <v>0</v>
      </c>
      <c r="J113" s="78" t="str">
        <f>'LIVRE Oficial'!H112</f>
        <v>Melhoria</v>
      </c>
      <c r="K113" s="79" t="str">
        <f>'LIVRE Oficial'!L112</f>
        <v xml:space="preserve"> OPORTUNIDADE | Complemento de Distribuição de Leads – Inserir ID e NOME do Gestor da Oportunidade</v>
      </c>
      <c r="L113" s="80">
        <f>'LIVRE Oficial'!V112</f>
        <v>0</v>
      </c>
      <c r="M113" s="78">
        <f>'LIVRE Oficial'!U112</f>
        <v>0</v>
      </c>
      <c r="N113" s="78">
        <f>'LIVRE Oficial'!M112</f>
        <v>0</v>
      </c>
      <c r="O113" s="81" t="b">
        <v>0</v>
      </c>
      <c r="P113" s="81" t="b">
        <v>0</v>
      </c>
      <c r="Q113" s="77">
        <f>'LIVRE Oficial'!J112</f>
        <v>656857</v>
      </c>
      <c r="R113" s="82">
        <f>'LIVRE Oficial'!P112</f>
        <v>1</v>
      </c>
      <c r="S113" s="82">
        <f>'LIVRE Oficial'!Q112</f>
        <v>2</v>
      </c>
      <c r="T113" s="82">
        <f>'LIVRE Oficial'!R112</f>
        <v>1</v>
      </c>
      <c r="U113" s="82">
        <f>'LIVRE Oficial'!S112</f>
        <v>4</v>
      </c>
      <c r="V113" s="82" t="str">
        <f>'LIVRE Oficial'!K112</f>
        <v>-</v>
      </c>
    </row>
    <row r="114" spans="2:22" ht="15" customHeight="1">
      <c r="B114" s="18">
        <f>'LIVRE Oficial'!A112</f>
        <v>112</v>
      </c>
      <c r="C114" s="76">
        <f>'LIVRE Oficial'!B113</f>
        <v>46163</v>
      </c>
      <c r="D114" s="77" t="str">
        <f>'LIVRE Oficial'!C113</f>
        <v>Proativo</v>
      </c>
      <c r="E114" s="77" t="str">
        <f>'LIVRE Oficial'!D113</f>
        <v>Funil</v>
      </c>
      <c r="G114" s="75" t="str">
        <f>'LIVRE Oficial'!I113</f>
        <v>Funil</v>
      </c>
      <c r="H114" s="1" t="str">
        <f>'LIVRE Oficial'!F113</f>
        <v>Entregue</v>
      </c>
      <c r="I114" s="77">
        <f>'LIVRE Oficial'!G113</f>
        <v>0</v>
      </c>
      <c r="J114" s="78" t="str">
        <f>'LIVRE Oficial'!H113</f>
        <v xml:space="preserve">BUG </v>
      </c>
      <c r="K114" s="79" t="str">
        <f>'LIVRE Oficial'!L113</f>
        <v>OPORTUNIDADE | Desenvolver correção do disparo da Distribuição de Lead</v>
      </c>
      <c r="L114" s="80">
        <f>'LIVRE Oficial'!V113</f>
        <v>0</v>
      </c>
      <c r="M114" s="78">
        <f>'LIVRE Oficial'!U113</f>
        <v>0</v>
      </c>
      <c r="N114" s="78" t="str">
        <f>'LIVRE Oficial'!M113</f>
        <v>P</v>
      </c>
      <c r="O114" s="81" t="b">
        <v>0</v>
      </c>
      <c r="P114" s="81" t="b">
        <v>0</v>
      </c>
      <c r="Q114" s="77">
        <f>'LIVRE Oficial'!J113</f>
        <v>657117</v>
      </c>
      <c r="R114" s="82">
        <f>'LIVRE Oficial'!P113</f>
        <v>1</v>
      </c>
      <c r="S114" s="82">
        <f>'LIVRE Oficial'!Q113</f>
        <v>1</v>
      </c>
      <c r="T114" s="82">
        <f>'LIVRE Oficial'!R113</f>
        <v>1</v>
      </c>
      <c r="U114" s="82">
        <f>'LIVRE Oficial'!S113</f>
        <v>3</v>
      </c>
      <c r="V114" s="82">
        <f>'LIVRE Oficial'!K113</f>
        <v>1</v>
      </c>
    </row>
    <row r="115" spans="2:22" ht="15" customHeight="1">
      <c r="B115" s="18">
        <f>'LIVRE Oficial'!A113</f>
        <v>113</v>
      </c>
      <c r="C115" s="76">
        <f>'LIVRE Oficial'!B114</f>
        <v>46163</v>
      </c>
      <c r="D115" s="77" t="str">
        <f>'LIVRE Oficial'!C114</f>
        <v>Daniela Mochon</v>
      </c>
      <c r="E115" s="77" t="str">
        <f>'LIVRE Oficial'!D114</f>
        <v>Comercial</v>
      </c>
      <c r="G115" s="75" t="str">
        <f>'LIVRE Oficial'!I114</f>
        <v>Funil</v>
      </c>
      <c r="H115" s="1" t="str">
        <f>'LIVRE Oficial'!F114</f>
        <v>Entregue</v>
      </c>
      <c r="I115" s="77">
        <f>'LIVRE Oficial'!G114</f>
        <v>0</v>
      </c>
      <c r="J115" s="78" t="str">
        <f>'LIVRE Oficial'!H114</f>
        <v>Melhoria</v>
      </c>
      <c r="K115" s="79" t="str">
        <f>'LIVRE Oficial'!L114</f>
        <v>LEAD | Desenvolver Opção de "Renovação" na picklist do LeadSource</v>
      </c>
      <c r="L115" s="80">
        <f>'LIVRE Oficial'!V114</f>
        <v>0</v>
      </c>
      <c r="M115" s="78" t="str">
        <f>'LIVRE Oficial'!U114</f>
        <v>Fora do Escopo SPRINT 04</v>
      </c>
      <c r="N115" s="78" t="str">
        <f>'LIVRE Oficial'!M114</f>
        <v>P</v>
      </c>
      <c r="O115" s="81" t="b">
        <v>0</v>
      </c>
      <c r="P115" s="81" t="b">
        <v>0</v>
      </c>
      <c r="Q115" s="77">
        <f>'LIVRE Oficial'!J114</f>
        <v>657177</v>
      </c>
      <c r="R115" s="82">
        <f>'LIVRE Oficial'!P114</f>
        <v>1</v>
      </c>
      <c r="S115" s="82">
        <f>'LIVRE Oficial'!Q114</f>
        <v>1</v>
      </c>
      <c r="T115" s="82">
        <f>'LIVRE Oficial'!R114</f>
        <v>1</v>
      </c>
      <c r="U115" s="82">
        <f>'LIVRE Oficial'!S114</f>
        <v>3</v>
      </c>
      <c r="V115" s="82">
        <f>'LIVRE Oficial'!K114</f>
        <v>1</v>
      </c>
    </row>
    <row r="116" spans="2:22" ht="15" customHeight="1">
      <c r="B116" s="18">
        <f>'LIVRE Oficial'!A114</f>
        <v>114</v>
      </c>
      <c r="C116" s="76">
        <f>'LIVRE Oficial'!B115</f>
        <v>46164</v>
      </c>
      <c r="D116" s="77" t="str">
        <f>'LIVRE Oficial'!C115</f>
        <v>Daniela Mochon</v>
      </c>
      <c r="E116" s="77" t="str">
        <f>'LIVRE Oficial'!D115</f>
        <v>Comercial</v>
      </c>
      <c r="G116" s="75" t="str">
        <f>'LIVRE Oficial'!I115</f>
        <v>Funil</v>
      </c>
      <c r="H116" s="1" t="str">
        <f>'LIVRE Oficial'!F115</f>
        <v>Entregue</v>
      </c>
      <c r="I116" s="77">
        <f>'LIVRE Oficial'!G115</f>
        <v>0</v>
      </c>
      <c r="J116" s="78" t="str">
        <f>'LIVRE Oficial'!H115</f>
        <v>Melhoria</v>
      </c>
      <c r="K116" s="79" t="str">
        <f>'LIVRE Oficial'!L115</f>
        <v>OPORTUNIDADE | Desenvolver cópia do nome do Owner para o Campo "Nome do Vendedor"</v>
      </c>
      <c r="L116" s="80">
        <f>'LIVRE Oficial'!V115</f>
        <v>0</v>
      </c>
      <c r="M116" s="78">
        <f>'LIVRE Oficial'!U115</f>
        <v>0</v>
      </c>
      <c r="N116" s="78" t="str">
        <f>'LIVRE Oficial'!M115</f>
        <v>P</v>
      </c>
      <c r="O116" s="81" t="b">
        <v>0</v>
      </c>
      <c r="P116" s="81" t="b">
        <v>0</v>
      </c>
      <c r="Q116" s="77">
        <f>'LIVRE Oficial'!J115</f>
        <v>657521</v>
      </c>
      <c r="R116" s="82">
        <f>'LIVRE Oficial'!P115</f>
        <v>1</v>
      </c>
      <c r="S116" s="82">
        <f>'LIVRE Oficial'!Q115</f>
        <v>1</v>
      </c>
      <c r="T116" s="82">
        <f>'LIVRE Oficial'!R115</f>
        <v>1</v>
      </c>
      <c r="U116" s="82">
        <f>'LIVRE Oficial'!S115</f>
        <v>3</v>
      </c>
      <c r="V116" s="82">
        <f>'LIVRE Oficial'!K115</f>
        <v>1</v>
      </c>
    </row>
    <row r="117" spans="2:22" ht="15" customHeight="1">
      <c r="B117" s="1">
        <f>'LIVRE Oficial'!A115</f>
        <v>115</v>
      </c>
      <c r="C117" s="76">
        <f>'LIVRE Oficial'!B116</f>
        <v>46167</v>
      </c>
      <c r="D117" s="77" t="str">
        <f>'LIVRE Oficial'!C116</f>
        <v>Daniela Mochon</v>
      </c>
      <c r="E117" s="77" t="str">
        <f>'LIVRE Oficial'!D116</f>
        <v>Comercial</v>
      </c>
      <c r="G117" s="75" t="str">
        <f>'LIVRE Oficial'!I116</f>
        <v>Funil</v>
      </c>
      <c r="H117" s="1" t="str">
        <f>'LIVRE Oficial'!F116</f>
        <v>Entregue</v>
      </c>
      <c r="I117" s="77">
        <f>'LIVRE Oficial'!G116</f>
        <v>0</v>
      </c>
      <c r="J117" s="78" t="str">
        <f>'LIVRE Oficial'!H116</f>
        <v xml:space="preserve">BUG </v>
      </c>
      <c r="K117" s="79" t="str">
        <f>'LIVRE Oficial'!L116</f>
        <v>LEAD | Desenvolver correção para LeadSource Nulo</v>
      </c>
      <c r="L117" s="80">
        <f>'LIVRE Oficial'!V116</f>
        <v>0</v>
      </c>
      <c r="M117" s="78" t="str">
        <f>'LIVRE Oficial'!U116</f>
        <v>Fora do Escopo SPRINT 04</v>
      </c>
      <c r="N117" s="78" t="str">
        <f>'LIVRE Oficial'!M116</f>
        <v>P</v>
      </c>
      <c r="O117" s="81" t="b">
        <v>0</v>
      </c>
      <c r="P117" s="81" t="b">
        <v>0</v>
      </c>
      <c r="Q117" s="77">
        <f>'LIVRE Oficial'!J116</f>
        <v>658406</v>
      </c>
      <c r="R117" s="82">
        <f>'LIVRE Oficial'!P116</f>
        <v>1</v>
      </c>
      <c r="S117" s="82">
        <f>'LIVRE Oficial'!Q116</f>
        <v>1</v>
      </c>
      <c r="T117" s="82">
        <f>'LIVRE Oficial'!R116</f>
        <v>1</v>
      </c>
      <c r="U117" s="82">
        <f>'LIVRE Oficial'!S116</f>
        <v>3</v>
      </c>
      <c r="V117" s="82">
        <f>'LIVRE Oficial'!K116</f>
        <v>1</v>
      </c>
    </row>
    <row r="118" spans="2:22" ht="15" customHeight="1">
      <c r="B118" s="1">
        <f>'LIVRE Oficial'!A116</f>
        <v>116</v>
      </c>
      <c r="C118" s="76">
        <f>'LIVRE Oficial'!B117</f>
        <v>46170</v>
      </c>
      <c r="D118" s="77" t="str">
        <f>'LIVRE Oficial'!C117</f>
        <v>Daniela Mochon</v>
      </c>
      <c r="E118" s="77" t="str">
        <f>'LIVRE Oficial'!D117</f>
        <v>Comercial</v>
      </c>
      <c r="G118" s="75" t="str">
        <f>'LIVRE Oficial'!I117</f>
        <v>Funil</v>
      </c>
      <c r="H118" s="1" t="str">
        <f>'LIVRE Oficial'!F117</f>
        <v>Entregue</v>
      </c>
      <c r="I118" s="77">
        <f>'LIVRE Oficial'!G117</f>
        <v>0</v>
      </c>
      <c r="J118" s="78" t="str">
        <f>'LIVRE Oficial'!H117</f>
        <v>Melhoria</v>
      </c>
      <c r="K118" s="79" t="str">
        <f>'LIVRE Oficial'!L117</f>
        <v>OPORTUNIDADE | Desenvolver novo balanceamento de Distribuição de Leads</v>
      </c>
      <c r="L118" s="80">
        <f>'LIVRE Oficial'!V117</f>
        <v>0</v>
      </c>
      <c r="M118" s="78" t="str">
        <f>'LIVRE Oficial'!U117</f>
        <v>Fora do Escopo SPRINT 04</v>
      </c>
      <c r="N118" s="78">
        <f>'LIVRE Oficial'!M117</f>
        <v>0</v>
      </c>
      <c r="O118" s="81" t="b">
        <v>0</v>
      </c>
      <c r="P118" s="81" t="b">
        <v>0</v>
      </c>
      <c r="Q118" s="77">
        <f>'LIVRE Oficial'!J117</f>
        <v>659617</v>
      </c>
      <c r="R118" s="82">
        <f>'LIVRE Oficial'!P117</f>
        <v>1</v>
      </c>
      <c r="S118" s="82">
        <f>'LIVRE Oficial'!Q117</f>
        <v>1</v>
      </c>
      <c r="T118" s="82">
        <f>'LIVRE Oficial'!R117</f>
        <v>1</v>
      </c>
      <c r="U118" s="82">
        <f>'LIVRE Oficial'!S117</f>
        <v>3</v>
      </c>
      <c r="V118" s="82">
        <f>'LIVRE Oficial'!K117</f>
        <v>1</v>
      </c>
    </row>
    <row r="119" spans="2:22" ht="15" customHeight="1">
      <c r="B119" s="1">
        <f>'LIVRE Oficial'!A117</f>
        <v>117</v>
      </c>
      <c r="C119" s="76">
        <f>'LIVRE Oficial'!B118</f>
        <v>46170</v>
      </c>
      <c r="D119" s="77" t="str">
        <f>'LIVRE Oficial'!C118</f>
        <v>Proativo</v>
      </c>
      <c r="E119" s="77" t="str">
        <f>'LIVRE Oficial'!D118</f>
        <v>Funil</v>
      </c>
      <c r="G119" s="75" t="str">
        <f>'LIVRE Oficial'!I118</f>
        <v>Funil</v>
      </c>
      <c r="H119" s="1" t="str">
        <f>'LIVRE Oficial'!F118</f>
        <v>Entregue</v>
      </c>
      <c r="I119" s="77">
        <f>'LIVRE Oficial'!G118</f>
        <v>0</v>
      </c>
      <c r="J119" s="78" t="str">
        <f>'LIVRE Oficial'!H118</f>
        <v xml:space="preserve">BUG </v>
      </c>
      <c r="K119" s="79" t="str">
        <f>'LIVRE Oficial'!L118</f>
        <v>OPORTUNIDADE | Desenvolver Status da Análise de Crédito em Branco em Cenários de Renovação</v>
      </c>
      <c r="L119" s="80">
        <f>'LIVRE Oficial'!V118</f>
        <v>0</v>
      </c>
      <c r="M119" s="78">
        <f>'LIVRE Oficial'!U118</f>
        <v>0</v>
      </c>
      <c r="N119" s="78" t="str">
        <f>'LIVRE Oficial'!M118</f>
        <v>P</v>
      </c>
      <c r="O119" s="81" t="b">
        <v>0</v>
      </c>
      <c r="P119" s="81" t="b">
        <v>0</v>
      </c>
      <c r="Q119" s="77">
        <f>'LIVRE Oficial'!J118</f>
        <v>659679</v>
      </c>
      <c r="R119" s="82">
        <f>'LIVRE Oficial'!P118</f>
        <v>1</v>
      </c>
      <c r="S119" s="82">
        <f>'LIVRE Oficial'!Q118</f>
        <v>1</v>
      </c>
      <c r="T119" s="82">
        <f>'LIVRE Oficial'!R118</f>
        <v>1</v>
      </c>
      <c r="U119" s="82">
        <f>'LIVRE Oficial'!S118</f>
        <v>3</v>
      </c>
      <c r="V119" s="82">
        <f>'LIVRE Oficial'!K118</f>
        <v>2</v>
      </c>
    </row>
    <row r="120" spans="2:22" ht="15" customHeight="1">
      <c r="B120" s="1">
        <f>'LIVRE Oficial'!A118</f>
        <v>118</v>
      </c>
      <c r="C120" s="76">
        <f>'LIVRE Oficial'!B119</f>
        <v>46223</v>
      </c>
      <c r="D120" s="77" t="str">
        <f>'LIVRE Oficial'!C119</f>
        <v>Jéssica Fachina</v>
      </c>
      <c r="E120" s="77" t="str">
        <f>'LIVRE Oficial'!D119</f>
        <v>Comercial</v>
      </c>
      <c r="G120" s="75" t="str">
        <f>'LIVRE Oficial'!I119</f>
        <v>Funil</v>
      </c>
      <c r="H120" s="1" t="str">
        <f>'LIVRE Oficial'!F119</f>
        <v>Priorizado Proxima Sprint</v>
      </c>
      <c r="I120" s="77">
        <f>'LIVRE Oficial'!G119</f>
        <v>0</v>
      </c>
      <c r="J120" s="78" t="str">
        <f>'LIVRE Oficial'!H119</f>
        <v>Melhoria</v>
      </c>
      <c r="K120" s="79" t="str">
        <f>'LIVRE Oficial'!L119</f>
        <v>OPORTUNIDADE | Nova alteração na Regra de Distribuição de Lead - Zeus 600-1000 e Nexi 0-599</v>
      </c>
      <c r="L120" s="80">
        <f>'LIVRE Oficial'!V119</f>
        <v>0</v>
      </c>
      <c r="M120" s="78">
        <f>'LIVRE Oficial'!U119</f>
        <v>0</v>
      </c>
      <c r="N120" s="78">
        <f>'LIVRE Oficial'!M119</f>
        <v>0</v>
      </c>
      <c r="O120" s="81" t="b">
        <v>0</v>
      </c>
      <c r="P120" s="81" t="b">
        <v>0</v>
      </c>
      <c r="Q120" s="77">
        <f>'LIVRE Oficial'!J119</f>
        <v>713714</v>
      </c>
      <c r="R120" s="82">
        <f>'LIVRE Oficial'!P119</f>
        <v>0</v>
      </c>
      <c r="S120" s="82">
        <f>'LIVRE Oficial'!Q119</f>
        <v>0</v>
      </c>
      <c r="T120" s="82">
        <f>'LIVRE Oficial'!R119</f>
        <v>0</v>
      </c>
      <c r="U120" s="82">
        <f>'LIVRE Oficial'!S119</f>
        <v>0</v>
      </c>
      <c r="V120" s="82">
        <f>'LIVRE Oficial'!K119</f>
        <v>1</v>
      </c>
    </row>
    <row r="121" spans="2:22" ht="15" customHeight="1">
      <c r="B121" s="1">
        <f>'LIVRE Oficial'!A119</f>
        <v>138</v>
      </c>
      <c r="C121" s="76">
        <f>'LIVRE Oficial'!B120</f>
        <v>46174</v>
      </c>
      <c r="D121" s="77" t="str">
        <f>'LIVRE Oficial'!C120</f>
        <v>Daniela Mochon</v>
      </c>
      <c r="E121" s="77" t="str">
        <f>'LIVRE Oficial'!D120</f>
        <v>Comercial</v>
      </c>
      <c r="G121" s="75" t="str">
        <f>'LIVRE Oficial'!I120</f>
        <v>Funil</v>
      </c>
      <c r="H121" s="1" t="str">
        <f>'LIVRE Oficial'!F120</f>
        <v>Entregue</v>
      </c>
      <c r="I121" s="77">
        <f>'LIVRE Oficial'!G120</f>
        <v>0</v>
      </c>
      <c r="J121" s="78" t="str">
        <f>'LIVRE Oficial'!H120</f>
        <v>Melhoria</v>
      </c>
      <c r="K121" s="79" t="str">
        <f>'LIVRE Oficial'!L120</f>
        <v>OPORTUNIDADE | Desenvolver Batch para aumentar frequência de geração de Pedido de Compra</v>
      </c>
      <c r="L121" s="80">
        <f>'LIVRE Oficial'!V120</f>
        <v>0</v>
      </c>
      <c r="M121" s="78">
        <f>'LIVRE Oficial'!U120</f>
        <v>0</v>
      </c>
      <c r="N121" s="78" t="str">
        <f>'LIVRE Oficial'!M120</f>
        <v>P</v>
      </c>
      <c r="O121" s="81" t="b">
        <v>0</v>
      </c>
      <c r="P121" s="81" t="b">
        <v>0</v>
      </c>
      <c r="Q121" s="77">
        <f>'LIVRE Oficial'!J120</f>
        <v>660361</v>
      </c>
      <c r="R121" s="82">
        <f>'LIVRE Oficial'!P120</f>
        <v>0</v>
      </c>
      <c r="S121" s="82">
        <f>'LIVRE Oficial'!Q120</f>
        <v>0</v>
      </c>
      <c r="T121" s="82">
        <f>'LIVRE Oficial'!R120</f>
        <v>0</v>
      </c>
      <c r="U121" s="82">
        <f>'LIVRE Oficial'!S120</f>
        <v>0</v>
      </c>
      <c r="V121" s="82">
        <f>'LIVRE Oficial'!K120</f>
        <v>2</v>
      </c>
    </row>
    <row r="122" spans="2:22" ht="15" customHeight="1">
      <c r="B122" s="1">
        <f>'LIVRE Oficial'!A120</f>
        <v>120</v>
      </c>
      <c r="C122" s="76">
        <f>'LIVRE Oficial'!B121</f>
        <v>45845</v>
      </c>
      <c r="D122" s="77" t="str">
        <f>'LIVRE Oficial'!C121</f>
        <v>Daniela Mochon</v>
      </c>
      <c r="E122" s="77" t="str">
        <f>'LIVRE Oficial'!D121</f>
        <v>Comercial</v>
      </c>
      <c r="G122" s="75" t="str">
        <f>'LIVRE Oficial'!I121</f>
        <v>Funil</v>
      </c>
      <c r="H122" s="1" t="str">
        <f>'LIVRE Oficial'!F121</f>
        <v>Removido</v>
      </c>
      <c r="I122" s="77">
        <f>'LIVRE Oficial'!G121</f>
        <v>1</v>
      </c>
      <c r="J122" s="78" t="str">
        <f>'LIVRE Oficial'!H121</f>
        <v>Melhoria</v>
      </c>
      <c r="K122" s="79" t="str">
        <f>'LIVRE Oficial'!L121</f>
        <v>CASO | Liberação de acesso ao campo CNPJ_Fornecedor_Relacionado__c para perfil Front Office Comercial Leves</v>
      </c>
      <c r="L122" s="80">
        <f>'LIVRE Oficial'!V121</f>
        <v>0</v>
      </c>
      <c r="M122" s="78">
        <f>'LIVRE Oficial'!U121</f>
        <v>0</v>
      </c>
      <c r="N122" s="78" t="str">
        <f>'LIVRE Oficial'!M121</f>
        <v>P</v>
      </c>
      <c r="O122" s="81" t="b">
        <v>0</v>
      </c>
      <c r="P122" s="81" t="b">
        <v>0</v>
      </c>
      <c r="Q122" s="77">
        <f>'LIVRE Oficial'!J121</f>
        <v>312689</v>
      </c>
      <c r="R122" s="82">
        <f>'LIVRE Oficial'!P121</f>
        <v>1</v>
      </c>
      <c r="S122" s="82">
        <f>'LIVRE Oficial'!Q121</f>
        <v>3</v>
      </c>
      <c r="T122" s="82">
        <f>'LIVRE Oficial'!R121</f>
        <v>3</v>
      </c>
      <c r="U122" s="82">
        <f>'LIVRE Oficial'!S121</f>
        <v>7</v>
      </c>
      <c r="V122" s="82">
        <f>'LIVRE Oficial'!K121</f>
        <v>0</v>
      </c>
    </row>
    <row r="123" spans="2:22" ht="15" customHeight="1">
      <c r="B123" s="1">
        <f>'LIVRE Oficial'!A121</f>
        <v>30</v>
      </c>
      <c r="C123" s="76">
        <f>'LIVRE Oficial'!B122</f>
        <v>46269</v>
      </c>
      <c r="D123" s="77" t="str">
        <f>'LIVRE Oficial'!C122</f>
        <v>Daniela Mochon</v>
      </c>
      <c r="E123" s="77" t="str">
        <f>'LIVRE Oficial'!D122</f>
        <v>Comercial</v>
      </c>
      <c r="G123" s="75" t="str">
        <f>'LIVRE Oficial'!I122</f>
        <v>Funil</v>
      </c>
      <c r="H123" s="1" t="str">
        <f>'LIVRE Oficial'!F122</f>
        <v>Entregue</v>
      </c>
      <c r="I123" s="77">
        <f>'LIVRE Oficial'!G122</f>
        <v>1</v>
      </c>
      <c r="J123" s="78" t="str">
        <f>'LIVRE Oficial'!H122</f>
        <v>Melhoria</v>
      </c>
      <c r="K123" s="79" t="str">
        <f>'LIVRE Oficial'!L122</f>
        <v>OPORTUNIDADE | Disparar e-mail ao vendedor quando o crédito reprovar uma renovação</v>
      </c>
      <c r="L123" s="80">
        <f>'LIVRE Oficial'!V122</f>
        <v>0</v>
      </c>
      <c r="M123" s="78">
        <f>'LIVRE Oficial'!U122</f>
        <v>0</v>
      </c>
      <c r="N123" s="78" t="str">
        <f>'LIVRE Oficial'!M122</f>
        <v>M</v>
      </c>
      <c r="O123" s="81" t="b">
        <v>0</v>
      </c>
      <c r="P123" s="81" t="b">
        <v>0</v>
      </c>
      <c r="Q123" s="77">
        <f>'LIVRE Oficial'!J122</f>
        <v>543213</v>
      </c>
      <c r="R123" s="82">
        <f>'LIVRE Oficial'!P122</f>
        <v>1</v>
      </c>
      <c r="S123" s="82">
        <f>'LIVRE Oficial'!Q122</f>
        <v>1</v>
      </c>
      <c r="T123" s="82">
        <f>'LIVRE Oficial'!R122</f>
        <v>1</v>
      </c>
      <c r="U123" s="82">
        <f>'LIVRE Oficial'!S122</f>
        <v>3</v>
      </c>
      <c r="V123" s="82">
        <f>'LIVRE Oficial'!K122</f>
        <v>11</v>
      </c>
    </row>
    <row r="124" spans="2:22" ht="15" customHeight="1">
      <c r="B124" s="1">
        <f>'LIVRE Oficial'!A122</f>
        <v>19</v>
      </c>
      <c r="C124" s="76">
        <f>'LIVRE Oficial'!B123</f>
        <v>46121</v>
      </c>
      <c r="D124" s="77" t="str">
        <f>'LIVRE Oficial'!C123</f>
        <v>Daniela Mochon</v>
      </c>
      <c r="E124" s="77" t="str">
        <f>'LIVRE Oficial'!D123</f>
        <v>Comercial</v>
      </c>
      <c r="G124" s="75" t="str">
        <f>'LIVRE Oficial'!I123</f>
        <v>Funil</v>
      </c>
      <c r="H124" s="1" t="str">
        <f>'LIVRE Oficial'!F123</f>
        <v>Entregue</v>
      </c>
      <c r="I124" s="77">
        <f>'LIVRE Oficial'!G123</f>
        <v>0</v>
      </c>
      <c r="J124" s="78" t="str">
        <f>'LIVRE Oficial'!H123</f>
        <v>BUG</v>
      </c>
      <c r="K124" s="79" t="str">
        <f>'LIVRE Oficial'!L123</f>
        <v>OPORTUNIDADE | Desenvolver correção para atualização do motivo do pedido de compra em cenários de renovação</v>
      </c>
      <c r="L124" s="80">
        <f>'LIVRE Oficial'!V123</f>
        <v>0</v>
      </c>
      <c r="M124" s="78">
        <f>'LIVRE Oficial'!U123</f>
        <v>0</v>
      </c>
      <c r="N124" s="78">
        <f>'LIVRE Oficial'!M123</f>
        <v>0</v>
      </c>
      <c r="O124" s="81" t="b">
        <v>0</v>
      </c>
      <c r="P124" s="81" t="b">
        <v>0</v>
      </c>
      <c r="Q124" s="77">
        <f>'LIVRE Oficial'!J123</f>
        <v>543229</v>
      </c>
      <c r="R124" s="82">
        <f>'LIVRE Oficial'!P123</f>
        <v>3</v>
      </c>
      <c r="S124" s="82">
        <f>'LIVRE Oficial'!Q123</f>
        <v>2</v>
      </c>
      <c r="T124" s="82">
        <f>'LIVRE Oficial'!R123</f>
        <v>2</v>
      </c>
      <c r="U124" s="82">
        <f>'LIVRE Oficial'!S123</f>
        <v>7</v>
      </c>
      <c r="V124" s="82">
        <f>'LIVRE Oficial'!K123</f>
        <v>2</v>
      </c>
    </row>
    <row r="125" spans="2:22" ht="15" customHeight="1">
      <c r="B125" s="1">
        <f>'LIVRE Oficial'!A123</f>
        <v>123</v>
      </c>
      <c r="C125" s="76">
        <f>'LIVRE Oficial'!B124</f>
        <v>46174</v>
      </c>
      <c r="D125" s="77" t="str">
        <f>'LIVRE Oficial'!C124</f>
        <v>Proativo</v>
      </c>
      <c r="E125" s="77" t="str">
        <f>'LIVRE Oficial'!D124</f>
        <v>Funil</v>
      </c>
      <c r="G125" s="75" t="str">
        <f>'LIVRE Oficial'!I124</f>
        <v>Funil</v>
      </c>
      <c r="H125" s="1" t="str">
        <f>'LIVRE Oficial'!F124</f>
        <v>Entregue</v>
      </c>
      <c r="I125" s="77">
        <f>'LIVRE Oficial'!G124</f>
        <v>0</v>
      </c>
      <c r="J125" s="78" t="str">
        <f>'LIVRE Oficial'!H124</f>
        <v>BUG</v>
      </c>
      <c r="K125" s="79" t="str">
        <f>'LIVRE Oficial'!L124</f>
        <v>LEAD | Desenvolver melhoria no processamento do Job IRIS_BatchCalloutsAndUpdateOwner</v>
      </c>
      <c r="L125" s="80">
        <f>'LIVRE Oficial'!V124</f>
        <v>0</v>
      </c>
      <c r="M125" s="78">
        <f>'LIVRE Oficial'!U124</f>
        <v>0</v>
      </c>
      <c r="N125" s="78">
        <f>'LIVRE Oficial'!M124</f>
        <v>0</v>
      </c>
      <c r="O125" s="81" t="b">
        <v>0</v>
      </c>
      <c r="P125" s="81" t="b">
        <v>0</v>
      </c>
      <c r="Q125" s="77">
        <f>'LIVRE Oficial'!J124</f>
        <v>663594</v>
      </c>
      <c r="R125" s="82">
        <f>'LIVRE Oficial'!P124</f>
        <v>0</v>
      </c>
      <c r="S125" s="82">
        <f>'LIVRE Oficial'!Q124</f>
        <v>0</v>
      </c>
      <c r="T125" s="82">
        <f>'LIVRE Oficial'!R124</f>
        <v>0</v>
      </c>
      <c r="U125" s="82">
        <f>'LIVRE Oficial'!S124</f>
        <v>0</v>
      </c>
      <c r="V125" s="82">
        <f>'LIVRE Oficial'!K124</f>
        <v>0</v>
      </c>
    </row>
    <row r="126" spans="2:22" ht="15" customHeight="1">
      <c r="B126" s="1">
        <f>'LIVRE Oficial'!A124</f>
        <v>124</v>
      </c>
      <c r="C126" s="76">
        <f>'LIVRE Oficial'!B125</f>
        <v>46174</v>
      </c>
      <c r="D126" s="77" t="str">
        <f>'LIVRE Oficial'!C125</f>
        <v>Helen Cristina</v>
      </c>
      <c r="E126" s="77" t="str">
        <f>'LIVRE Oficial'!D125</f>
        <v>FLEET</v>
      </c>
      <c r="G126" s="75" t="str">
        <f>'LIVRE Oficial'!I125</f>
        <v>Funil</v>
      </c>
      <c r="H126" s="1" t="str">
        <f>'LIVRE Oficial'!F125</f>
        <v>Entregue</v>
      </c>
      <c r="I126" s="77">
        <f>'LIVRE Oficial'!G125</f>
        <v>0</v>
      </c>
      <c r="J126" s="78" t="str">
        <f>'LIVRE Oficial'!H125</f>
        <v xml:space="preserve">BUG </v>
      </c>
      <c r="K126" s="79" t="str">
        <f>'LIVRE Oficial'!L125</f>
        <v>ASSET | Desenvolver Tratamento de Nome de Produto para Criação de Asset</v>
      </c>
      <c r="L126" s="80">
        <f>'LIVRE Oficial'!V125</f>
        <v>0</v>
      </c>
      <c r="M126" s="78">
        <f>'LIVRE Oficial'!U125</f>
        <v>0</v>
      </c>
      <c r="N126" s="78">
        <f>'LIVRE Oficial'!M125</f>
        <v>0</v>
      </c>
      <c r="O126" s="81" t="b">
        <v>0</v>
      </c>
      <c r="P126" s="81" t="b">
        <v>0</v>
      </c>
      <c r="Q126" s="77">
        <f>'LIVRE Oficial'!J125</f>
        <v>663652</v>
      </c>
      <c r="R126" s="82">
        <f>'LIVRE Oficial'!P125</f>
        <v>1</v>
      </c>
      <c r="S126" s="82">
        <f>'LIVRE Oficial'!Q125</f>
        <v>1</v>
      </c>
      <c r="T126" s="82">
        <f>'LIVRE Oficial'!R125</f>
        <v>1</v>
      </c>
      <c r="U126" s="82">
        <f>'LIVRE Oficial'!S125</f>
        <v>3</v>
      </c>
      <c r="V126" s="82">
        <f>'LIVRE Oficial'!K125</f>
        <v>0</v>
      </c>
    </row>
    <row r="127" spans="2:22" ht="15" customHeight="1">
      <c r="B127" s="1">
        <f>'LIVRE Oficial'!A125</f>
        <v>125</v>
      </c>
      <c r="C127" s="76">
        <f>'LIVRE Oficial'!B126</f>
        <v>46182</v>
      </c>
      <c r="D127" s="77" t="str">
        <f>'LIVRE Oficial'!C126</f>
        <v>Daniela Mochon</v>
      </c>
      <c r="E127" s="77" t="str">
        <f>'LIVRE Oficial'!D126</f>
        <v>Comercial</v>
      </c>
      <c r="G127" s="75" t="str">
        <f>'LIVRE Oficial'!I126</f>
        <v>Funil</v>
      </c>
      <c r="H127" s="1" t="str">
        <f>'LIVRE Oficial'!F126</f>
        <v>Entregue</v>
      </c>
      <c r="I127" s="77">
        <f>'LIVRE Oficial'!G126</f>
        <v>0</v>
      </c>
      <c r="J127" s="78" t="str">
        <f>'LIVRE Oficial'!H126</f>
        <v>Melhoria</v>
      </c>
      <c r="K127" s="79" t="str">
        <f>'LIVRE Oficial'!L126</f>
        <v>Adicionar vendedor à fila Nexi - IG00710VDD-0 distribuição</v>
      </c>
      <c r="L127" s="80">
        <f>'LIVRE Oficial'!V126</f>
        <v>0</v>
      </c>
      <c r="M127" s="78">
        <f>'LIVRE Oficial'!U126</f>
        <v>0</v>
      </c>
      <c r="N127" s="78" t="str">
        <f>'LIVRE Oficial'!M126</f>
        <v>P</v>
      </c>
      <c r="O127" s="81" t="b">
        <v>0</v>
      </c>
      <c r="P127" s="81" t="b">
        <v>0</v>
      </c>
      <c r="Q127" s="77">
        <f>'LIVRE Oficial'!J126</f>
        <v>670506</v>
      </c>
      <c r="R127" s="82">
        <f>'LIVRE Oficial'!P126</f>
        <v>0</v>
      </c>
      <c r="S127" s="82">
        <f>'LIVRE Oficial'!Q126</f>
        <v>0</v>
      </c>
      <c r="T127" s="82">
        <f>'LIVRE Oficial'!R126</f>
        <v>0</v>
      </c>
      <c r="U127" s="82">
        <f>'LIVRE Oficial'!S126</f>
        <v>0</v>
      </c>
      <c r="V127" s="82">
        <f>'LIVRE Oficial'!K126</f>
        <v>1</v>
      </c>
    </row>
    <row r="128" spans="2:22" ht="15" customHeight="1">
      <c r="B128" s="1">
        <f>'LIVRE Oficial'!A126</f>
        <v>128</v>
      </c>
      <c r="C128" s="76">
        <f>'LIVRE Oficial'!B127</f>
        <v>46174</v>
      </c>
      <c r="D128" s="77" t="str">
        <f>'LIVRE Oficial'!C127</f>
        <v>Daniela Mochon</v>
      </c>
      <c r="E128" s="77" t="str">
        <f>'LIVRE Oficial'!D127</f>
        <v>Comercial</v>
      </c>
      <c r="G128" s="75" t="str">
        <f>'LIVRE Oficial'!I127</f>
        <v>Funil</v>
      </c>
      <c r="H128" s="1" t="str">
        <f>'LIVRE Oficial'!F127</f>
        <v>Entregue</v>
      </c>
      <c r="I128" s="77">
        <f>'LIVRE Oficial'!G127</f>
        <v>0</v>
      </c>
      <c r="J128" s="78" t="str">
        <f>'LIVRE Oficial'!H127</f>
        <v xml:space="preserve">BUG </v>
      </c>
      <c r="K128" s="79" t="str">
        <f>'LIVRE Oficial'!L127</f>
        <v>OPORTUNIDADE | Desenvolver importação de Campos do Lead para a Oportunidade</v>
      </c>
      <c r="L128" s="80">
        <f>'LIVRE Oficial'!V127</f>
        <v>0</v>
      </c>
      <c r="M128" s="78">
        <f>'LIVRE Oficial'!U127</f>
        <v>0</v>
      </c>
      <c r="N128" s="78">
        <f>'LIVRE Oficial'!M127</f>
        <v>0</v>
      </c>
      <c r="O128" s="81" t="b">
        <v>0</v>
      </c>
      <c r="P128" s="81" t="b">
        <v>0</v>
      </c>
      <c r="Q128" s="77">
        <f>'LIVRE Oficial'!J127</f>
        <v>666988</v>
      </c>
      <c r="R128" s="82">
        <f>'LIVRE Oficial'!P127</f>
        <v>0</v>
      </c>
      <c r="S128" s="82">
        <f>'LIVRE Oficial'!Q127</f>
        <v>0</v>
      </c>
      <c r="T128" s="82">
        <f>'LIVRE Oficial'!R127</f>
        <v>0</v>
      </c>
      <c r="U128" s="82">
        <f>'LIVRE Oficial'!S127</f>
        <v>0</v>
      </c>
      <c r="V128" s="82">
        <f>'LIVRE Oficial'!K127</f>
        <v>0</v>
      </c>
    </row>
    <row r="129" spans="2:22" ht="15" customHeight="1">
      <c r="B129" s="1">
        <f>'LIVRE Oficial'!A127</f>
        <v>127</v>
      </c>
      <c r="C129" s="76">
        <f>'LIVRE Oficial'!B128</f>
        <v>46269</v>
      </c>
      <c r="D129" s="77" t="str">
        <f>'LIVRE Oficial'!C128</f>
        <v>Daniela Mochon</v>
      </c>
      <c r="E129" s="77" t="str">
        <f>'LIVRE Oficial'!D128</f>
        <v>Comercial</v>
      </c>
      <c r="G129" s="75" t="str">
        <f>'LIVRE Oficial'!I128</f>
        <v>Funil</v>
      </c>
      <c r="H129" s="1" t="str">
        <f>'LIVRE Oficial'!F128</f>
        <v>Entregue</v>
      </c>
      <c r="I129" s="77">
        <f>'LIVRE Oficial'!G128</f>
        <v>1</v>
      </c>
      <c r="J129" s="78" t="str">
        <f>'LIVRE Oficial'!H128</f>
        <v>Melhoria</v>
      </c>
      <c r="K129" s="79" t="str">
        <f>'LIVRE Oficial'!L128</f>
        <v>OPORTUNIDADE | Atualizar motivo “Preço” para “Problemas financeiros” e incluir opção “Não informado”</v>
      </c>
      <c r="L129" s="80">
        <f>'LIVRE Oficial'!V128</f>
        <v>0</v>
      </c>
      <c r="M129" s="78">
        <f>'LIVRE Oficial'!U128</f>
        <v>0</v>
      </c>
      <c r="N129" s="78" t="str">
        <f>'LIVRE Oficial'!M128</f>
        <v>P</v>
      </c>
      <c r="O129" s="81" t="b">
        <v>0</v>
      </c>
      <c r="P129" s="81" t="b">
        <v>0</v>
      </c>
      <c r="Q129" s="77">
        <f>'LIVRE Oficial'!J128</f>
        <v>543211</v>
      </c>
      <c r="R129" s="82">
        <f>'LIVRE Oficial'!P128</f>
        <v>1</v>
      </c>
      <c r="S129" s="82">
        <f>'LIVRE Oficial'!Q128</f>
        <v>1</v>
      </c>
      <c r="T129" s="82">
        <f>'LIVRE Oficial'!R128</f>
        <v>1</v>
      </c>
      <c r="U129" s="82">
        <f>'LIVRE Oficial'!S128</f>
        <v>3</v>
      </c>
      <c r="V129" s="82">
        <f>'LIVRE Oficial'!K128</f>
        <v>12</v>
      </c>
    </row>
    <row r="130" spans="2:22" ht="15" customHeight="1">
      <c r="B130" s="1">
        <f>'LIVRE Oficial'!A128</f>
        <v>16</v>
      </c>
      <c r="C130" s="76">
        <f>'LIVRE Oficial'!B129</f>
        <v>46191</v>
      </c>
      <c r="D130" s="77" t="str">
        <f>'LIVRE Oficial'!C129</f>
        <v>Daniela Mochon</v>
      </c>
      <c r="E130" s="77" t="str">
        <f>'LIVRE Oficial'!D129</f>
        <v>Comercial</v>
      </c>
      <c r="G130" s="75" t="str">
        <f>'LIVRE Oficial'!I129</f>
        <v>Funil</v>
      </c>
      <c r="H130" s="1" t="str">
        <f>'LIVRE Oficial'!F129</f>
        <v>Entregue</v>
      </c>
      <c r="I130" s="77">
        <f>'LIVRE Oficial'!G129</f>
        <v>1</v>
      </c>
      <c r="J130" s="78" t="str">
        <f>'LIVRE Oficial'!H129</f>
        <v>Melhoria</v>
      </c>
      <c r="K130" s="79" t="str">
        <f>'LIVRE Oficial'!L129</f>
        <v>CASO | Ajuste da regra de criação de caso para desmobilização, contabilizando dias úteis e removendo a regra de fechamento automatico da oportunidade</v>
      </c>
      <c r="L130" s="80">
        <f>'LIVRE Oficial'!V129</f>
        <v>0</v>
      </c>
      <c r="M130" s="78">
        <f>'LIVRE Oficial'!U129</f>
        <v>0</v>
      </c>
      <c r="N130" s="78" t="str">
        <f>'LIVRE Oficial'!M129</f>
        <v>P</v>
      </c>
      <c r="O130" s="81" t="b">
        <v>0</v>
      </c>
      <c r="P130" s="81" t="b">
        <v>0</v>
      </c>
      <c r="Q130" s="77">
        <f>'LIVRE Oficial'!J129</f>
        <v>679032</v>
      </c>
      <c r="R130" s="82">
        <f>'LIVRE Oficial'!P129</f>
        <v>0</v>
      </c>
      <c r="S130" s="82">
        <f>'LIVRE Oficial'!Q129</f>
        <v>0</v>
      </c>
      <c r="T130" s="82">
        <f>'LIVRE Oficial'!R129</f>
        <v>0</v>
      </c>
      <c r="U130" s="82">
        <f>'LIVRE Oficial'!S129</f>
        <v>0</v>
      </c>
      <c r="V130" s="82">
        <f>'LIVRE Oficial'!K129</f>
        <v>1</v>
      </c>
    </row>
  </sheetData>
  <sheetProtection sheet="1" objects="1" scenarios="1"/>
  <mergeCells count="1">
    <mergeCell ref="R1:U1"/>
  </mergeCells>
  <phoneticPr fontId="6" type="noConversion"/>
  <conditionalFormatting sqref="B1:B2 B118:B1048576">
    <cfRule type="duplicateValues" dxfId="67" priority="5"/>
    <cfRule type="duplicateValues" dxfId="66" priority="6"/>
  </conditionalFormatting>
  <conditionalFormatting sqref="H1:H1048576">
    <cfRule type="cellIs" dxfId="65" priority="19" operator="equal">
      <formula>"Entregue"</formula>
    </cfRule>
    <cfRule type="cellIs" dxfId="64" priority="20" operator="equal">
      <formula>"Cancelado"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13F1-4DA8-4E57-AE15-43A963900ED7}">
  <dimension ref="A1:E33"/>
  <sheetViews>
    <sheetView workbookViewId="0">
      <pane ySplit="1" topLeftCell="A2" activePane="bottomLeft" state="frozen"/>
      <selection pane="bottomLeft" activeCell="B16" sqref="B16"/>
    </sheetView>
  </sheetViews>
  <sheetFormatPr defaultRowHeight="14.45"/>
  <cols>
    <col min="1" max="1" width="45.140625" customWidth="1"/>
    <col min="2" max="2" width="64.85546875" customWidth="1"/>
    <col min="3" max="3" width="14.42578125" bestFit="1" customWidth="1"/>
    <col min="4" max="4" width="14.7109375" bestFit="1" customWidth="1"/>
  </cols>
  <sheetData>
    <row r="1" spans="1:5" ht="15.95">
      <c r="A1" s="15" t="s">
        <v>20</v>
      </c>
      <c r="B1" s="16" t="s">
        <v>21</v>
      </c>
      <c r="C1" s="16" t="s">
        <v>32</v>
      </c>
      <c r="D1" s="16" t="s">
        <v>31</v>
      </c>
      <c r="E1" s="43" t="s">
        <v>33</v>
      </c>
    </row>
    <row r="2" spans="1:5">
      <c r="A2" s="44" t="s">
        <v>34</v>
      </c>
      <c r="B2" s="45" t="s">
        <v>35</v>
      </c>
      <c r="C2" s="46" t="s">
        <v>36</v>
      </c>
      <c r="D2" s="47">
        <v>1</v>
      </c>
      <c r="E2" s="47" t="s">
        <v>37</v>
      </c>
    </row>
    <row r="3" spans="1:5">
      <c r="A3" s="46" t="s">
        <v>38</v>
      </c>
      <c r="B3" s="45" t="s">
        <v>39</v>
      </c>
      <c r="C3" s="46" t="s">
        <v>40</v>
      </c>
      <c r="D3" s="47">
        <v>2</v>
      </c>
      <c r="E3" s="47" t="s">
        <v>37</v>
      </c>
    </row>
    <row r="4" spans="1:5">
      <c r="A4" s="48" t="s">
        <v>41</v>
      </c>
      <c r="B4" s="49" t="s">
        <v>42</v>
      </c>
      <c r="C4" s="48" t="s">
        <v>40</v>
      </c>
      <c r="D4" s="47">
        <v>3</v>
      </c>
      <c r="E4" s="47" t="s">
        <v>37</v>
      </c>
    </row>
    <row r="5" spans="1:5">
      <c r="A5" s="46" t="s">
        <v>43</v>
      </c>
      <c r="B5" s="45" t="s">
        <v>44</v>
      </c>
      <c r="C5" s="50" t="s">
        <v>40</v>
      </c>
      <c r="D5" s="47">
        <v>4</v>
      </c>
      <c r="E5" s="47" t="s">
        <v>37</v>
      </c>
    </row>
    <row r="6" spans="1:5">
      <c r="A6" s="46" t="s">
        <v>45</v>
      </c>
      <c r="B6" s="45" t="s">
        <v>46</v>
      </c>
      <c r="C6" s="50" t="s">
        <v>40</v>
      </c>
      <c r="D6" s="47">
        <v>5</v>
      </c>
      <c r="E6" s="47" t="s">
        <v>37</v>
      </c>
    </row>
    <row r="7" spans="1:5">
      <c r="A7" s="51" t="s">
        <v>47</v>
      </c>
      <c r="B7" s="52" t="s">
        <v>48</v>
      </c>
      <c r="C7" s="50" t="s">
        <v>40</v>
      </c>
      <c r="D7" s="47">
        <v>6</v>
      </c>
      <c r="E7" s="47" t="s">
        <v>37</v>
      </c>
    </row>
    <row r="8" spans="1:5">
      <c r="A8" s="53" t="s">
        <v>49</v>
      </c>
      <c r="B8" s="54" t="s">
        <v>50</v>
      </c>
      <c r="C8" s="50" t="s">
        <v>40</v>
      </c>
      <c r="D8" s="47">
        <v>7</v>
      </c>
      <c r="E8" s="47" t="s">
        <v>37</v>
      </c>
    </row>
    <row r="9" spans="1:5">
      <c r="A9" s="55" t="s">
        <v>51</v>
      </c>
      <c r="B9" s="56" t="s">
        <v>52</v>
      </c>
      <c r="C9" s="50" t="s">
        <v>40</v>
      </c>
      <c r="D9" s="47">
        <v>8</v>
      </c>
      <c r="E9" s="47" t="s">
        <v>37</v>
      </c>
    </row>
    <row r="10" spans="1:5">
      <c r="A10" s="57" t="s">
        <v>53</v>
      </c>
      <c r="B10" s="58" t="s">
        <v>54</v>
      </c>
      <c r="C10" s="50" t="s">
        <v>55</v>
      </c>
      <c r="D10" s="47">
        <v>9</v>
      </c>
      <c r="E10" s="47" t="s">
        <v>37</v>
      </c>
    </row>
    <row r="11" spans="1:5">
      <c r="A11" s="57" t="s">
        <v>56</v>
      </c>
      <c r="B11" s="58" t="s">
        <v>54</v>
      </c>
      <c r="C11" s="50" t="s">
        <v>55</v>
      </c>
      <c r="D11" s="47">
        <v>10</v>
      </c>
      <c r="E11" s="47" t="s">
        <v>37</v>
      </c>
    </row>
    <row r="12" spans="1:5">
      <c r="A12" s="59" t="s">
        <v>57</v>
      </c>
      <c r="B12" s="60" t="s">
        <v>58</v>
      </c>
      <c r="C12" s="50" t="s">
        <v>40</v>
      </c>
      <c r="D12" s="47">
        <v>11</v>
      </c>
      <c r="E12" s="47" t="s">
        <v>37</v>
      </c>
    </row>
    <row r="13" spans="1:5">
      <c r="A13" s="46" t="s">
        <v>59</v>
      </c>
      <c r="B13" s="45" t="s">
        <v>60</v>
      </c>
      <c r="C13" s="50" t="s">
        <v>40</v>
      </c>
      <c r="D13" s="47">
        <v>12</v>
      </c>
      <c r="E13" s="47" t="s">
        <v>37</v>
      </c>
    </row>
    <row r="14" spans="1:5">
      <c r="A14" s="46" t="s">
        <v>61</v>
      </c>
      <c r="B14" s="45" t="s">
        <v>62</v>
      </c>
      <c r="C14" s="50" t="s">
        <v>36</v>
      </c>
      <c r="D14" s="61"/>
      <c r="E14" s="47" t="s">
        <v>37</v>
      </c>
    </row>
    <row r="15" spans="1:5">
      <c r="A15" s="46" t="s">
        <v>63</v>
      </c>
      <c r="B15" s="45" t="s">
        <v>64</v>
      </c>
      <c r="C15" s="50" t="s">
        <v>36</v>
      </c>
      <c r="D15" s="61"/>
      <c r="E15" s="47" t="s">
        <v>37</v>
      </c>
    </row>
    <row r="16" spans="1:5">
      <c r="A16" s="46" t="s">
        <v>65</v>
      </c>
      <c r="B16" s="45" t="s">
        <v>66</v>
      </c>
      <c r="C16" s="50" t="s">
        <v>67</v>
      </c>
      <c r="D16" s="61"/>
      <c r="E16" s="47" t="s">
        <v>37</v>
      </c>
    </row>
    <row r="17" spans="1:5">
      <c r="A17" s="46" t="s">
        <v>68</v>
      </c>
      <c r="B17" s="45" t="s">
        <v>69</v>
      </c>
      <c r="C17" s="50" t="s">
        <v>55</v>
      </c>
      <c r="D17" s="61"/>
      <c r="E17" s="47" t="s">
        <v>37</v>
      </c>
    </row>
    <row r="18" spans="1:5">
      <c r="A18" s="53" t="s">
        <v>70</v>
      </c>
      <c r="B18" s="54" t="s">
        <v>71</v>
      </c>
      <c r="C18" s="50" t="s">
        <v>55</v>
      </c>
      <c r="D18" s="61"/>
      <c r="E18" s="47" t="s">
        <v>37</v>
      </c>
    </row>
    <row r="19" spans="1:5">
      <c r="A19" s="53" t="s">
        <v>72</v>
      </c>
      <c r="B19" s="54" t="s">
        <v>73</v>
      </c>
      <c r="C19" s="50" t="s">
        <v>55</v>
      </c>
      <c r="D19" s="61"/>
      <c r="E19" s="47" t="s">
        <v>37</v>
      </c>
    </row>
    <row r="20" spans="1:5">
      <c r="A20" s="53" t="s">
        <v>74</v>
      </c>
      <c r="B20" s="54" t="s">
        <v>75</v>
      </c>
      <c r="C20" s="50" t="s">
        <v>55</v>
      </c>
      <c r="D20" s="61"/>
      <c r="E20" s="47" t="s">
        <v>37</v>
      </c>
    </row>
    <row r="21" spans="1:5">
      <c r="A21" s="53" t="s">
        <v>76</v>
      </c>
      <c r="B21" s="54" t="s">
        <v>77</v>
      </c>
      <c r="C21" s="50" t="s">
        <v>55</v>
      </c>
      <c r="D21" s="61"/>
      <c r="E21" s="47" t="s">
        <v>37</v>
      </c>
    </row>
    <row r="22" spans="1:5">
      <c r="A22" s="62" t="s">
        <v>78</v>
      </c>
      <c r="B22" s="45" t="s">
        <v>79</v>
      </c>
      <c r="C22" s="50" t="s">
        <v>40</v>
      </c>
      <c r="D22" s="61"/>
      <c r="E22" s="47" t="s">
        <v>37</v>
      </c>
    </row>
    <row r="23" spans="1:5">
      <c r="A23" s="46" t="s">
        <v>80</v>
      </c>
      <c r="B23" s="45" t="s">
        <v>81</v>
      </c>
      <c r="C23" s="50" t="s">
        <v>40</v>
      </c>
      <c r="D23" s="61"/>
      <c r="E23" s="47" t="s">
        <v>37</v>
      </c>
    </row>
    <row r="24" spans="1:5">
      <c r="A24" s="46" t="s">
        <v>82</v>
      </c>
      <c r="B24" s="45" t="s">
        <v>81</v>
      </c>
      <c r="C24" s="50" t="s">
        <v>40</v>
      </c>
      <c r="D24" s="61"/>
      <c r="E24" s="47" t="s">
        <v>37</v>
      </c>
    </row>
    <row r="25" spans="1:5">
      <c r="A25" s="46" t="s">
        <v>83</v>
      </c>
      <c r="B25" s="45" t="s">
        <v>84</v>
      </c>
      <c r="C25" s="50" t="s">
        <v>40</v>
      </c>
      <c r="D25" s="61"/>
      <c r="E25" s="47" t="s">
        <v>37</v>
      </c>
    </row>
    <row r="26" spans="1:5">
      <c r="A26" s="46" t="s">
        <v>85</v>
      </c>
      <c r="B26" s="45" t="s">
        <v>86</v>
      </c>
      <c r="C26" s="50" t="s">
        <v>40</v>
      </c>
      <c r="D26" s="61"/>
      <c r="E26" s="47" t="s">
        <v>37</v>
      </c>
    </row>
    <row r="27" spans="1:5">
      <c r="A27" s="46" t="s">
        <v>87</v>
      </c>
      <c r="B27" s="45" t="s">
        <v>88</v>
      </c>
      <c r="C27" s="50" t="s">
        <v>40</v>
      </c>
      <c r="D27" s="61"/>
      <c r="E27" s="47" t="s">
        <v>37</v>
      </c>
    </row>
    <row r="28" spans="1:5">
      <c r="A28" s="46" t="s">
        <v>89</v>
      </c>
      <c r="B28" s="45" t="s">
        <v>90</v>
      </c>
      <c r="C28" s="50" t="s">
        <v>40</v>
      </c>
      <c r="D28" s="61"/>
      <c r="E28" s="47" t="s">
        <v>37</v>
      </c>
    </row>
    <row r="29" spans="1:5">
      <c r="A29" s="46" t="s">
        <v>91</v>
      </c>
      <c r="B29" s="45" t="s">
        <v>92</v>
      </c>
      <c r="C29" s="50" t="s">
        <v>40</v>
      </c>
      <c r="D29" s="61"/>
      <c r="E29" s="47" t="s">
        <v>37</v>
      </c>
    </row>
    <row r="30" spans="1:5">
      <c r="A30" s="46" t="s">
        <v>93</v>
      </c>
      <c r="B30" s="45" t="s">
        <v>94</v>
      </c>
      <c r="C30" s="50" t="s">
        <v>40</v>
      </c>
      <c r="D30" s="61"/>
      <c r="E30" s="47" t="s">
        <v>37</v>
      </c>
    </row>
    <row r="31" spans="1:5">
      <c r="A31" s="46" t="s">
        <v>95</v>
      </c>
      <c r="B31" s="45" t="s">
        <v>96</v>
      </c>
      <c r="C31" s="50" t="s">
        <v>40</v>
      </c>
      <c r="D31" s="61"/>
      <c r="E31" s="47" t="s">
        <v>37</v>
      </c>
    </row>
    <row r="32" spans="1:5">
      <c r="A32" s="46" t="s">
        <v>97</v>
      </c>
      <c r="B32" s="45" t="s">
        <v>98</v>
      </c>
      <c r="C32" s="50" t="s">
        <v>40</v>
      </c>
      <c r="D32" s="61"/>
      <c r="E32" s="47" t="s">
        <v>37</v>
      </c>
    </row>
    <row r="33" spans="1:5">
      <c r="A33" s="46" t="s">
        <v>99</v>
      </c>
      <c r="B33" s="45" t="s">
        <v>100</v>
      </c>
      <c r="C33" s="50" t="s">
        <v>40</v>
      </c>
      <c r="D33" s="61"/>
      <c r="E33" s="47" t="s">
        <v>37</v>
      </c>
    </row>
  </sheetData>
  <autoFilter ref="A1:D33" xr:uid="{380413F1-4DA8-4E57-AE15-43A963900ED7}">
    <sortState xmlns:xlrd2="http://schemas.microsoft.com/office/spreadsheetml/2017/richdata2" ref="A2:D33">
      <sortCondition ref="D1:D33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D6A7-6923-47CA-B398-8476901BA51C}">
  <sheetPr>
    <tabColor rgb="FF00B050"/>
  </sheetPr>
  <dimension ref="A1:QW179"/>
  <sheetViews>
    <sheetView zoomScale="85" zoomScaleNormal="85" workbookViewId="0">
      <pane ySplit="1" topLeftCell="D162" activePane="bottomLeft" state="frozen"/>
      <selection pane="bottomLeft" activeCell="F170" sqref="F170"/>
      <selection activeCell="H1" sqref="H1"/>
    </sheetView>
  </sheetViews>
  <sheetFormatPr defaultColWidth="18.5703125" defaultRowHeight="15" customHeight="1"/>
  <cols>
    <col min="1" max="1" width="5.42578125" bestFit="1" customWidth="1"/>
    <col min="2" max="2" width="18.42578125" bestFit="1" customWidth="1"/>
    <col min="3" max="3" width="21.28515625" bestFit="1" customWidth="1"/>
    <col min="4" max="4" width="12" bestFit="1" customWidth="1"/>
    <col min="5" max="5" width="13" bestFit="1" customWidth="1"/>
    <col min="6" max="6" width="33.5703125" bestFit="1" customWidth="1"/>
    <col min="7" max="7" width="27" customWidth="1"/>
    <col min="8" max="8" width="16.28515625" customWidth="1"/>
    <col min="9" max="9" width="27.28515625" customWidth="1"/>
    <col min="10" max="10" width="11.140625" bestFit="1" customWidth="1"/>
    <col min="11" max="11" width="12.7109375" style="1" customWidth="1"/>
    <col min="12" max="12" width="193.5703125" style="63" bestFit="1" customWidth="1"/>
    <col min="13" max="13" width="12.140625" bestFit="1" customWidth="1"/>
    <col min="14" max="14" width="14.42578125" bestFit="1" customWidth="1"/>
    <col min="15" max="15" width="17.5703125" bestFit="1" customWidth="1"/>
    <col min="16" max="16" width="12.5703125" style="1" bestFit="1" customWidth="1"/>
    <col min="17" max="17" width="11.28515625" style="1" bestFit="1" customWidth="1"/>
    <col min="18" max="18" width="12.42578125" style="1" bestFit="1" customWidth="1"/>
    <col min="19" max="19" width="16.5703125" style="1" bestFit="1" customWidth="1"/>
    <col min="20" max="20" width="10.42578125" bestFit="1" customWidth="1"/>
    <col min="21" max="21" width="57.5703125" bestFit="1" customWidth="1"/>
    <col min="22" max="22" width="36.85546875" bestFit="1" customWidth="1"/>
    <col min="23" max="33" width="9.5703125" bestFit="1" customWidth="1"/>
    <col min="34" max="35" width="7.28515625" bestFit="1" customWidth="1"/>
    <col min="36" max="55" width="9.5703125" bestFit="1" customWidth="1"/>
    <col min="56" max="57" width="7.28515625" bestFit="1" customWidth="1"/>
    <col min="58" max="77" width="9.5703125" bestFit="1" customWidth="1"/>
    <col min="78" max="79" width="7.28515625" bestFit="1" customWidth="1"/>
    <col min="80" max="99" width="9.5703125" bestFit="1" customWidth="1"/>
    <col min="100" max="101" width="7.28515625" bestFit="1" customWidth="1"/>
    <col min="102" max="121" width="9.5703125" bestFit="1" customWidth="1"/>
    <col min="122" max="123" width="7.28515625" bestFit="1" customWidth="1"/>
    <col min="124" max="143" width="9.5703125" bestFit="1" customWidth="1"/>
    <col min="144" max="144" width="7.28515625" bestFit="1" customWidth="1"/>
    <col min="145" max="157" width="9.5703125" bestFit="1" customWidth="1"/>
    <col min="158" max="159" width="7.28515625" bestFit="1" customWidth="1"/>
    <col min="160" max="178" width="9.5703125" bestFit="1" customWidth="1"/>
    <col min="179" max="180" width="7.28515625" bestFit="1" customWidth="1"/>
    <col min="181" max="200" width="9.5703125" bestFit="1" customWidth="1"/>
    <col min="201" max="202" width="7.28515625" bestFit="1" customWidth="1"/>
    <col min="203" max="222" width="9.5703125" bestFit="1" customWidth="1"/>
    <col min="223" max="224" width="7.28515625" bestFit="1" customWidth="1"/>
    <col min="225" max="244" width="9.5703125" bestFit="1" customWidth="1"/>
    <col min="245" max="246" width="7.28515625" bestFit="1" customWidth="1"/>
    <col min="247" max="266" width="9.5703125" bestFit="1" customWidth="1"/>
    <col min="267" max="268" width="7.28515625" bestFit="1" customWidth="1"/>
    <col min="269" max="288" width="9.5703125" bestFit="1" customWidth="1"/>
    <col min="289" max="290" width="7.28515625" bestFit="1" customWidth="1"/>
    <col min="291" max="310" width="9.5703125" bestFit="1" customWidth="1"/>
    <col min="311" max="312" width="7.28515625" bestFit="1" customWidth="1"/>
    <col min="313" max="332" width="9.5703125" bestFit="1" customWidth="1"/>
    <col min="333" max="334" width="7.28515625" bestFit="1" customWidth="1"/>
    <col min="335" max="354" width="9.5703125" bestFit="1" customWidth="1"/>
    <col min="355" max="356" width="7.28515625" bestFit="1" customWidth="1"/>
    <col min="357" max="376" width="9.5703125" bestFit="1" customWidth="1"/>
    <col min="377" max="378" width="7.28515625" bestFit="1" customWidth="1"/>
    <col min="379" max="398" width="9.5703125" bestFit="1" customWidth="1"/>
    <col min="399" max="400" width="7.28515625" bestFit="1" customWidth="1"/>
    <col min="401" max="420" width="9.5703125" bestFit="1" customWidth="1"/>
    <col min="421" max="422" width="7.28515625" bestFit="1" customWidth="1"/>
    <col min="423" max="442" width="9.5703125" bestFit="1" customWidth="1"/>
    <col min="443" max="444" width="7.28515625" bestFit="1" customWidth="1"/>
    <col min="445" max="464" width="9.5703125" bestFit="1" customWidth="1"/>
    <col min="465" max="465" width="7.28515625" bestFit="1" customWidth="1"/>
    <col min="466" max="16207" width="9.5703125" bestFit="1" customWidth="1"/>
  </cols>
  <sheetData>
    <row r="1" spans="1:22" ht="15.75">
      <c r="A1" s="13" t="s">
        <v>12</v>
      </c>
      <c r="B1" s="14" t="s">
        <v>13</v>
      </c>
      <c r="C1" s="15" t="s">
        <v>14</v>
      </c>
      <c r="D1" s="15" t="s">
        <v>15</v>
      </c>
      <c r="E1" s="15" t="s">
        <v>16</v>
      </c>
      <c r="F1" s="15" t="s">
        <v>1</v>
      </c>
      <c r="G1" s="15" t="s">
        <v>18</v>
      </c>
      <c r="H1" s="16" t="s">
        <v>101</v>
      </c>
      <c r="I1" s="15" t="s">
        <v>17</v>
      </c>
      <c r="J1" s="15" t="s">
        <v>26</v>
      </c>
      <c r="K1" s="15" t="s">
        <v>31</v>
      </c>
      <c r="L1" s="124" t="s">
        <v>20</v>
      </c>
      <c r="M1" s="16" t="s">
        <v>23</v>
      </c>
      <c r="N1" s="25" t="s">
        <v>24</v>
      </c>
      <c r="O1" s="25" t="s">
        <v>25</v>
      </c>
      <c r="P1" s="15" t="s">
        <v>27</v>
      </c>
      <c r="Q1" s="15" t="s">
        <v>28</v>
      </c>
      <c r="R1" s="15" t="s">
        <v>29</v>
      </c>
      <c r="S1" s="15" t="s">
        <v>30</v>
      </c>
      <c r="T1" s="17" t="s">
        <v>102</v>
      </c>
      <c r="U1" s="16" t="s">
        <v>22</v>
      </c>
      <c r="V1" s="16" t="s">
        <v>21</v>
      </c>
    </row>
    <row r="2" spans="1:22" ht="15.75">
      <c r="A2" s="18">
        <v>1</v>
      </c>
      <c r="B2" s="68">
        <v>45758</v>
      </c>
      <c r="C2" s="21" t="s">
        <v>103</v>
      </c>
      <c r="D2" s="67" t="s">
        <v>104</v>
      </c>
      <c r="E2" s="21"/>
      <c r="F2" s="21" t="s">
        <v>4</v>
      </c>
      <c r="G2" s="70">
        <v>3</v>
      </c>
      <c r="H2" s="21" t="s">
        <v>105</v>
      </c>
      <c r="I2" s="21" t="s">
        <v>106</v>
      </c>
      <c r="J2" s="20">
        <v>364684</v>
      </c>
      <c r="K2" s="72">
        <v>1</v>
      </c>
      <c r="L2" s="66" t="s">
        <v>107</v>
      </c>
      <c r="M2" s="21" t="s">
        <v>36</v>
      </c>
      <c r="N2" s="22" t="b">
        <v>0</v>
      </c>
      <c r="O2" s="22" t="b">
        <v>0</v>
      </c>
      <c r="P2" s="72">
        <v>1</v>
      </c>
      <c r="Q2" s="72">
        <v>2</v>
      </c>
      <c r="R2" s="72">
        <v>3</v>
      </c>
      <c r="S2" s="20">
        <f t="shared" ref="S2" si="0">P2+Q2+R2</f>
        <v>6</v>
      </c>
      <c r="T2" s="26"/>
      <c r="U2" s="21"/>
      <c r="V2" s="27"/>
    </row>
    <row r="3" spans="1:22" ht="15.75">
      <c r="A3" s="18">
        <v>131</v>
      </c>
      <c r="B3" s="68">
        <v>46171</v>
      </c>
      <c r="C3" s="21" t="s">
        <v>103</v>
      </c>
      <c r="D3" s="67" t="s">
        <v>104</v>
      </c>
      <c r="E3" s="21"/>
      <c r="F3" s="35" t="s">
        <v>108</v>
      </c>
      <c r="G3" s="71">
        <v>1</v>
      </c>
      <c r="H3" s="21" t="s">
        <v>105</v>
      </c>
      <c r="I3" s="21" t="s">
        <v>106</v>
      </c>
      <c r="J3" s="21">
        <v>679614</v>
      </c>
      <c r="K3" s="73">
        <v>4</v>
      </c>
      <c r="L3" s="66" t="s">
        <v>109</v>
      </c>
      <c r="M3" s="21" t="s">
        <v>110</v>
      </c>
      <c r="N3" s="22"/>
      <c r="O3" s="22" t="b">
        <v>1</v>
      </c>
      <c r="P3" s="73"/>
      <c r="Q3" s="73"/>
      <c r="R3" s="73"/>
      <c r="S3" s="20"/>
      <c r="T3" s="89"/>
      <c r="U3" s="21"/>
      <c r="V3" s="29"/>
    </row>
    <row r="4" spans="1:22" ht="15.75">
      <c r="A4" s="18">
        <v>27</v>
      </c>
      <c r="B4" s="68">
        <v>46238</v>
      </c>
      <c r="C4" s="21" t="s">
        <v>103</v>
      </c>
      <c r="D4" s="67" t="s">
        <v>104</v>
      </c>
      <c r="E4" s="21"/>
      <c r="F4" s="21" t="s">
        <v>5</v>
      </c>
      <c r="G4" s="71">
        <v>3</v>
      </c>
      <c r="H4" s="21" t="s">
        <v>105</v>
      </c>
      <c r="I4" s="21" t="s">
        <v>106</v>
      </c>
      <c r="J4" s="20">
        <v>539582</v>
      </c>
      <c r="K4" s="73"/>
      <c r="L4" s="66" t="s">
        <v>111</v>
      </c>
      <c r="M4" s="85" t="s">
        <v>67</v>
      </c>
      <c r="N4" s="22" t="b">
        <v>1</v>
      </c>
      <c r="O4" s="22"/>
      <c r="P4" s="73">
        <v>3</v>
      </c>
      <c r="Q4" s="73">
        <v>2</v>
      </c>
      <c r="R4" s="73">
        <v>3</v>
      </c>
      <c r="S4" s="20">
        <f>P4+Q4+R4</f>
        <v>8</v>
      </c>
      <c r="T4" s="26"/>
      <c r="U4" s="21"/>
      <c r="V4" s="29"/>
    </row>
    <row r="5" spans="1:22" ht="15.75">
      <c r="A5" s="18">
        <v>4</v>
      </c>
      <c r="B5" s="68">
        <v>45754</v>
      </c>
      <c r="C5" s="21" t="s">
        <v>103</v>
      </c>
      <c r="D5" s="67" t="s">
        <v>104</v>
      </c>
      <c r="E5" s="21"/>
      <c r="F5" s="21" t="s">
        <v>4</v>
      </c>
      <c r="G5" s="71" t="s">
        <v>112</v>
      </c>
      <c r="H5" s="21" t="s">
        <v>105</v>
      </c>
      <c r="I5" s="21" t="s">
        <v>106</v>
      </c>
      <c r="J5" s="20">
        <v>312387</v>
      </c>
      <c r="K5" s="73" t="s">
        <v>112</v>
      </c>
      <c r="L5" s="66" t="s">
        <v>113</v>
      </c>
      <c r="M5" s="21"/>
      <c r="N5" s="22"/>
      <c r="O5" s="22"/>
      <c r="P5" s="73" t="s">
        <v>112</v>
      </c>
      <c r="Q5" s="73" t="s">
        <v>112</v>
      </c>
      <c r="R5" s="73" t="s">
        <v>112</v>
      </c>
      <c r="S5" s="20" t="e">
        <f>P5+Q5+R5</f>
        <v>#VALUE!</v>
      </c>
      <c r="T5" s="26"/>
      <c r="U5" s="21"/>
      <c r="V5" s="31"/>
    </row>
    <row r="6" spans="1:22" ht="15.75">
      <c r="A6" s="18">
        <v>5</v>
      </c>
      <c r="B6" s="68">
        <v>9609</v>
      </c>
      <c r="C6" s="21" t="s">
        <v>103</v>
      </c>
      <c r="D6" s="67" t="s">
        <v>104</v>
      </c>
      <c r="E6" s="21" t="s">
        <v>114</v>
      </c>
      <c r="F6" s="21" t="s">
        <v>4</v>
      </c>
      <c r="G6" s="71">
        <v>1</v>
      </c>
      <c r="H6" s="21" t="s">
        <v>115</v>
      </c>
      <c r="I6" s="21" t="s">
        <v>106</v>
      </c>
      <c r="J6" s="20">
        <v>593226</v>
      </c>
      <c r="K6" s="73">
        <v>9</v>
      </c>
      <c r="L6" s="66" t="s">
        <v>116</v>
      </c>
      <c r="M6" s="21"/>
      <c r="N6" s="22"/>
      <c r="O6" s="22"/>
      <c r="P6" s="73">
        <v>1</v>
      </c>
      <c r="Q6" s="73">
        <v>3</v>
      </c>
      <c r="R6" s="73">
        <v>3</v>
      </c>
      <c r="S6" s="20">
        <f>P6+Q6+R6</f>
        <v>7</v>
      </c>
      <c r="T6" s="26"/>
      <c r="U6" s="21"/>
      <c r="V6" s="31"/>
    </row>
    <row r="7" spans="1:22" ht="15.75">
      <c r="A7" s="18">
        <v>6</v>
      </c>
      <c r="B7" s="68">
        <v>9454</v>
      </c>
      <c r="C7" s="21" t="s">
        <v>103</v>
      </c>
      <c r="D7" s="67" t="s">
        <v>104</v>
      </c>
      <c r="E7" s="21"/>
      <c r="F7" s="21" t="s">
        <v>4</v>
      </c>
      <c r="G7" s="71">
        <v>3</v>
      </c>
      <c r="H7" s="21" t="s">
        <v>105</v>
      </c>
      <c r="I7" s="21" t="s">
        <v>106</v>
      </c>
      <c r="J7" s="20">
        <v>371328</v>
      </c>
      <c r="K7" s="73">
        <v>4</v>
      </c>
      <c r="L7" s="66" t="s">
        <v>117</v>
      </c>
      <c r="M7" s="21"/>
      <c r="N7" s="22"/>
      <c r="O7" s="22"/>
      <c r="P7" s="73">
        <v>3</v>
      </c>
      <c r="Q7" s="73">
        <v>3</v>
      </c>
      <c r="R7" s="73">
        <v>3</v>
      </c>
      <c r="S7" s="20">
        <f>P7+Q7+R7</f>
        <v>9</v>
      </c>
      <c r="T7" s="26"/>
      <c r="U7" s="21"/>
      <c r="V7" s="31"/>
    </row>
    <row r="8" spans="1:22" ht="15.75">
      <c r="A8" s="18">
        <v>7</v>
      </c>
      <c r="B8" s="68">
        <v>9616</v>
      </c>
      <c r="C8" s="21" t="s">
        <v>118</v>
      </c>
      <c r="D8" s="67" t="s">
        <v>104</v>
      </c>
      <c r="E8" s="21" t="s">
        <v>119</v>
      </c>
      <c r="F8" s="21" t="s">
        <v>4</v>
      </c>
      <c r="G8" s="71">
        <v>1</v>
      </c>
      <c r="H8" s="21" t="s">
        <v>115</v>
      </c>
      <c r="I8" s="21" t="s">
        <v>106</v>
      </c>
      <c r="J8" s="20">
        <v>625264</v>
      </c>
      <c r="K8" s="73">
        <v>13</v>
      </c>
      <c r="L8" s="66" t="s">
        <v>120</v>
      </c>
      <c r="M8" s="21"/>
      <c r="N8" s="22"/>
      <c r="O8" s="22"/>
      <c r="P8" s="73">
        <v>2</v>
      </c>
      <c r="Q8" s="73">
        <v>1</v>
      </c>
      <c r="R8" s="73">
        <v>2</v>
      </c>
      <c r="S8" s="20">
        <f>P8+Q8+R8</f>
        <v>5</v>
      </c>
      <c r="T8" s="26"/>
      <c r="U8" s="21"/>
      <c r="V8" s="31"/>
    </row>
    <row r="9" spans="1:22" ht="15.75">
      <c r="A9" s="18">
        <v>8</v>
      </c>
      <c r="B9" s="68">
        <v>9614</v>
      </c>
      <c r="C9" s="21" t="s">
        <v>121</v>
      </c>
      <c r="D9" s="67" t="s">
        <v>122</v>
      </c>
      <c r="E9" s="21"/>
      <c r="F9" s="69" t="s">
        <v>4</v>
      </c>
      <c r="G9" s="71">
        <v>1</v>
      </c>
      <c r="H9" s="21" t="s">
        <v>105</v>
      </c>
      <c r="I9" s="21" t="s">
        <v>106</v>
      </c>
      <c r="J9" s="20">
        <v>625328</v>
      </c>
      <c r="K9" s="73">
        <v>22</v>
      </c>
      <c r="L9" s="66" t="s">
        <v>123</v>
      </c>
      <c r="M9" s="21" t="s">
        <v>55</v>
      </c>
      <c r="N9" s="22"/>
      <c r="O9" s="22"/>
      <c r="P9" s="73">
        <v>1</v>
      </c>
      <c r="Q9" s="73">
        <v>1</v>
      </c>
      <c r="R9" s="73">
        <v>1</v>
      </c>
      <c r="S9" s="20">
        <f>P9+Q9+R9</f>
        <v>3</v>
      </c>
      <c r="T9" s="26"/>
      <c r="U9" s="21"/>
      <c r="V9" s="31"/>
    </row>
    <row r="10" spans="1:22" ht="15.75">
      <c r="A10" s="18">
        <v>9</v>
      </c>
      <c r="B10" s="68">
        <v>9551</v>
      </c>
      <c r="C10" s="21" t="s">
        <v>103</v>
      </c>
      <c r="D10" s="67" t="s">
        <v>104</v>
      </c>
      <c r="E10" s="21"/>
      <c r="F10" s="21" t="s">
        <v>4</v>
      </c>
      <c r="G10" s="71">
        <v>1</v>
      </c>
      <c r="H10" s="21" t="s">
        <v>105</v>
      </c>
      <c r="I10" s="21" t="s">
        <v>106</v>
      </c>
      <c r="J10" s="20">
        <v>397306</v>
      </c>
      <c r="K10" s="73">
        <v>2</v>
      </c>
      <c r="L10" s="66" t="s">
        <v>124</v>
      </c>
      <c r="M10" s="21" t="s">
        <v>55</v>
      </c>
      <c r="N10" s="22"/>
      <c r="O10" s="22" t="b">
        <v>1</v>
      </c>
      <c r="P10" s="73">
        <v>2</v>
      </c>
      <c r="Q10" s="73">
        <v>2</v>
      </c>
      <c r="R10" s="73">
        <v>1</v>
      </c>
      <c r="S10" s="20">
        <f>P10+Q10+R10</f>
        <v>5</v>
      </c>
      <c r="T10" s="26"/>
      <c r="U10" s="21"/>
      <c r="V10" s="31"/>
    </row>
    <row r="11" spans="1:22" ht="15.75">
      <c r="A11" s="18">
        <v>10</v>
      </c>
      <c r="B11" s="68">
        <v>46269</v>
      </c>
      <c r="C11" s="21" t="s">
        <v>103</v>
      </c>
      <c r="D11" s="67" t="s">
        <v>104</v>
      </c>
      <c r="E11" s="21"/>
      <c r="F11" s="21" t="s">
        <v>4</v>
      </c>
      <c r="G11" s="71">
        <v>1</v>
      </c>
      <c r="H11" s="21" t="s">
        <v>115</v>
      </c>
      <c r="I11" s="21" t="s">
        <v>106</v>
      </c>
      <c r="J11" s="20">
        <v>543229</v>
      </c>
      <c r="K11" s="73">
        <v>21</v>
      </c>
      <c r="L11" s="66" t="s">
        <v>125</v>
      </c>
      <c r="M11" s="21" t="s">
        <v>110</v>
      </c>
      <c r="N11" s="22"/>
      <c r="O11" s="22"/>
      <c r="P11" s="73">
        <v>1</v>
      </c>
      <c r="Q11" s="73">
        <v>1</v>
      </c>
      <c r="R11" s="73">
        <v>1</v>
      </c>
      <c r="S11" s="20">
        <f>P11+Q11+R11</f>
        <v>3</v>
      </c>
      <c r="T11" s="26"/>
      <c r="U11" s="21"/>
      <c r="V11" s="31"/>
    </row>
    <row r="12" spans="1:22" ht="15.75">
      <c r="A12" s="18">
        <v>11</v>
      </c>
      <c r="B12" s="68">
        <v>46269</v>
      </c>
      <c r="C12" s="21" t="s">
        <v>103</v>
      </c>
      <c r="D12" s="67" t="s">
        <v>104</v>
      </c>
      <c r="E12" s="21"/>
      <c r="F12" s="21" t="s">
        <v>4</v>
      </c>
      <c r="G12" s="71">
        <v>1</v>
      </c>
      <c r="H12" s="21" t="s">
        <v>105</v>
      </c>
      <c r="I12" s="21" t="s">
        <v>106</v>
      </c>
      <c r="J12" s="20">
        <v>543196</v>
      </c>
      <c r="K12" s="73">
        <v>14</v>
      </c>
      <c r="L12" s="66" t="s">
        <v>126</v>
      </c>
      <c r="M12" s="21" t="s">
        <v>55</v>
      </c>
      <c r="N12" s="22"/>
      <c r="O12" s="22"/>
      <c r="P12" s="73">
        <v>2</v>
      </c>
      <c r="Q12" s="73">
        <v>2</v>
      </c>
      <c r="R12" s="73">
        <v>1</v>
      </c>
      <c r="S12" s="20">
        <f>P12+Q12+R12</f>
        <v>5</v>
      </c>
      <c r="T12" s="26"/>
      <c r="U12" s="21"/>
      <c r="V12" s="31"/>
    </row>
    <row r="13" spans="1:22" s="87" customFormat="1" ht="15.75">
      <c r="A13" s="18">
        <v>119</v>
      </c>
      <c r="B13" s="68">
        <v>46170</v>
      </c>
      <c r="C13" s="21" t="s">
        <v>103</v>
      </c>
      <c r="D13" s="67" t="s">
        <v>104</v>
      </c>
      <c r="E13" s="21"/>
      <c r="F13" s="21" t="s">
        <v>4</v>
      </c>
      <c r="G13" s="71"/>
      <c r="H13" s="21" t="s">
        <v>105</v>
      </c>
      <c r="I13" s="21" t="s">
        <v>106</v>
      </c>
      <c r="J13" s="20">
        <v>660405</v>
      </c>
      <c r="K13" s="73">
        <v>1</v>
      </c>
      <c r="L13" s="66" t="s">
        <v>127</v>
      </c>
      <c r="M13" s="21" t="s">
        <v>36</v>
      </c>
      <c r="N13" s="22" t="b">
        <v>0</v>
      </c>
      <c r="O13" s="22" t="b">
        <v>1</v>
      </c>
      <c r="P13" s="73">
        <v>1</v>
      </c>
      <c r="Q13" s="73">
        <v>1</v>
      </c>
      <c r="R13" s="73">
        <v>1</v>
      </c>
      <c r="S13" s="20">
        <f>P13+Q13+R13</f>
        <v>3</v>
      </c>
      <c r="T13" s="89"/>
      <c r="U13" s="31" t="s">
        <v>128</v>
      </c>
      <c r="V13" s="21"/>
    </row>
    <row r="14" spans="1:22" ht="15.75">
      <c r="A14" s="18">
        <v>13</v>
      </c>
      <c r="B14" s="68">
        <v>9611</v>
      </c>
      <c r="C14" s="21" t="s">
        <v>129</v>
      </c>
      <c r="D14" s="67" t="s">
        <v>106</v>
      </c>
      <c r="E14" s="21"/>
      <c r="F14" s="21" t="s">
        <v>4</v>
      </c>
      <c r="G14" s="71" t="s">
        <v>112</v>
      </c>
      <c r="H14" s="21" t="s">
        <v>115</v>
      </c>
      <c r="I14" s="21" t="s">
        <v>106</v>
      </c>
      <c r="J14" s="20">
        <v>594558</v>
      </c>
      <c r="K14" s="73" t="s">
        <v>112</v>
      </c>
      <c r="L14" s="66" t="s">
        <v>130</v>
      </c>
      <c r="M14" s="21"/>
      <c r="N14" s="22"/>
      <c r="O14" s="22"/>
      <c r="P14" s="73" t="s">
        <v>112</v>
      </c>
      <c r="Q14" s="73" t="s">
        <v>112</v>
      </c>
      <c r="R14" s="73" t="s">
        <v>112</v>
      </c>
      <c r="S14" s="20" t="e">
        <f>P14+Q14+R14</f>
        <v>#VALUE!</v>
      </c>
      <c r="T14" s="26"/>
      <c r="U14" s="21"/>
      <c r="V14" s="31"/>
    </row>
    <row r="15" spans="1:22" ht="15.75">
      <c r="A15" s="18">
        <v>140</v>
      </c>
      <c r="B15" s="68">
        <v>46223</v>
      </c>
      <c r="C15" s="21" t="s">
        <v>131</v>
      </c>
      <c r="D15" s="67" t="s">
        <v>132</v>
      </c>
      <c r="E15" s="21"/>
      <c r="F15" s="40" t="s">
        <v>4</v>
      </c>
      <c r="G15" s="71"/>
      <c r="H15" s="21" t="s">
        <v>105</v>
      </c>
      <c r="I15" s="21" t="s">
        <v>106</v>
      </c>
      <c r="J15" s="20">
        <v>706718</v>
      </c>
      <c r="K15" s="73"/>
      <c r="L15" s="66" t="s">
        <v>133</v>
      </c>
      <c r="M15" s="21" t="s">
        <v>55</v>
      </c>
      <c r="N15" s="22"/>
      <c r="O15" s="22" t="b">
        <v>1</v>
      </c>
      <c r="P15" s="73"/>
      <c r="Q15" s="73"/>
      <c r="R15" s="73"/>
      <c r="S15" s="20"/>
      <c r="T15" s="98"/>
      <c r="U15" s="21"/>
      <c r="V15" s="21"/>
    </row>
    <row r="16" spans="1:22" s="87" customFormat="1" ht="15.75">
      <c r="A16" s="18">
        <v>141</v>
      </c>
      <c r="B16" s="68">
        <v>46224</v>
      </c>
      <c r="C16" s="21" t="s">
        <v>131</v>
      </c>
      <c r="D16" s="67" t="s">
        <v>134</v>
      </c>
      <c r="E16" s="21"/>
      <c r="F16" s="40" t="s">
        <v>4</v>
      </c>
      <c r="G16" s="71"/>
      <c r="H16" s="21" t="s">
        <v>105</v>
      </c>
      <c r="I16" s="21" t="s">
        <v>134</v>
      </c>
      <c r="J16" s="20">
        <v>706680</v>
      </c>
      <c r="K16" s="73">
        <v>1</v>
      </c>
      <c r="L16" s="66" t="s">
        <v>135</v>
      </c>
      <c r="M16" s="21" t="s">
        <v>55</v>
      </c>
      <c r="N16" s="22"/>
      <c r="O16" s="22" t="b">
        <v>1</v>
      </c>
      <c r="P16" s="73"/>
      <c r="Q16" s="73"/>
      <c r="R16" s="73"/>
      <c r="S16" s="20"/>
      <c r="T16" s="98"/>
      <c r="U16" s="21"/>
      <c r="V16" s="21"/>
    </row>
    <row r="17" spans="1:22" s="87" customFormat="1" ht="15.75">
      <c r="A17" s="18">
        <v>144</v>
      </c>
      <c r="B17" s="68">
        <v>46230</v>
      </c>
      <c r="C17" s="21" t="s">
        <v>131</v>
      </c>
      <c r="D17" s="67" t="s">
        <v>106</v>
      </c>
      <c r="E17" s="21"/>
      <c r="F17" s="40" t="s">
        <v>136</v>
      </c>
      <c r="G17" s="71"/>
      <c r="H17" s="21" t="s">
        <v>105</v>
      </c>
      <c r="I17" s="21" t="s">
        <v>137</v>
      </c>
      <c r="J17" s="20"/>
      <c r="K17" s="73">
        <v>1</v>
      </c>
      <c r="L17" s="66" t="s">
        <v>138</v>
      </c>
      <c r="M17" s="21"/>
      <c r="N17" s="22"/>
      <c r="O17" s="22"/>
      <c r="P17" s="73"/>
      <c r="Q17" s="73"/>
      <c r="R17" s="73"/>
      <c r="S17" s="20"/>
      <c r="T17" s="98"/>
      <c r="U17" s="21"/>
      <c r="V17" s="21"/>
    </row>
    <row r="18" spans="1:22" ht="15.75">
      <c r="A18" s="18">
        <v>121</v>
      </c>
      <c r="B18" s="68">
        <v>46174</v>
      </c>
      <c r="C18" s="21" t="s">
        <v>103</v>
      </c>
      <c r="D18" s="67" t="s">
        <v>104</v>
      </c>
      <c r="E18" s="21"/>
      <c r="F18" s="21" t="s">
        <v>4</v>
      </c>
      <c r="G18" s="71"/>
      <c r="H18" s="21" t="s">
        <v>105</v>
      </c>
      <c r="I18" s="21" t="s">
        <v>106</v>
      </c>
      <c r="J18" s="20">
        <v>661063</v>
      </c>
      <c r="K18" s="73">
        <v>2</v>
      </c>
      <c r="L18" s="66" t="s">
        <v>139</v>
      </c>
      <c r="M18" s="21" t="s">
        <v>55</v>
      </c>
      <c r="N18" s="22"/>
      <c r="O18" s="22" t="b">
        <v>1</v>
      </c>
      <c r="P18" s="73"/>
      <c r="Q18" s="73"/>
      <c r="R18" s="73"/>
      <c r="S18" s="20">
        <f>P18+Q18+R18</f>
        <v>0</v>
      </c>
      <c r="T18" s="89"/>
      <c r="U18" s="21"/>
      <c r="V18" s="31"/>
    </row>
    <row r="19" spans="1:22" ht="15.75">
      <c r="A19" s="18">
        <v>122</v>
      </c>
      <c r="B19" s="68">
        <v>46174</v>
      </c>
      <c r="C19" s="21" t="s">
        <v>103</v>
      </c>
      <c r="D19" s="67" t="s">
        <v>104</v>
      </c>
      <c r="E19" s="21"/>
      <c r="F19" s="21" t="s">
        <v>4</v>
      </c>
      <c r="G19" s="71"/>
      <c r="H19" s="21" t="s">
        <v>115</v>
      </c>
      <c r="I19" s="21" t="s">
        <v>106</v>
      </c>
      <c r="J19" s="20" t="s">
        <v>140</v>
      </c>
      <c r="K19" s="73">
        <v>2</v>
      </c>
      <c r="L19" s="66" t="s">
        <v>141</v>
      </c>
      <c r="M19" s="21" t="s">
        <v>110</v>
      </c>
      <c r="N19" s="22"/>
      <c r="O19" s="22" t="b">
        <v>1</v>
      </c>
      <c r="P19" s="73"/>
      <c r="Q19" s="73"/>
      <c r="R19" s="73"/>
      <c r="S19" s="20">
        <f>P19+Q19+R19</f>
        <v>0</v>
      </c>
      <c r="T19" s="89"/>
      <c r="U19" s="21" t="s">
        <v>142</v>
      </c>
      <c r="V19" s="31"/>
    </row>
    <row r="20" spans="1:22" s="87" customFormat="1" ht="15.75">
      <c r="A20" s="18"/>
      <c r="B20" s="68">
        <v>46197</v>
      </c>
      <c r="C20" s="21" t="s">
        <v>103</v>
      </c>
      <c r="D20" s="67" t="s">
        <v>104</v>
      </c>
      <c r="E20" s="21"/>
      <c r="F20" s="21" t="s">
        <v>4</v>
      </c>
      <c r="G20" s="71">
        <v>1</v>
      </c>
      <c r="H20" s="21" t="s">
        <v>105</v>
      </c>
      <c r="I20" s="21" t="s">
        <v>143</v>
      </c>
      <c r="J20" s="20">
        <v>679043</v>
      </c>
      <c r="K20" s="73"/>
      <c r="L20" s="66" t="s">
        <v>144</v>
      </c>
      <c r="M20" s="21" t="s">
        <v>110</v>
      </c>
      <c r="N20" s="22"/>
      <c r="O20" s="22" t="b">
        <v>1</v>
      </c>
      <c r="P20" s="73"/>
      <c r="Q20" s="73"/>
      <c r="R20" s="73"/>
      <c r="S20" s="20"/>
      <c r="T20" s="99"/>
      <c r="U20" s="21"/>
      <c r="V20" s="31"/>
    </row>
    <row r="21" spans="1:22" ht="15.75">
      <c r="A21" s="18">
        <v>25</v>
      </c>
      <c r="B21" s="68">
        <v>46238</v>
      </c>
      <c r="C21" s="21" t="s">
        <v>103</v>
      </c>
      <c r="D21" s="67" t="s">
        <v>104</v>
      </c>
      <c r="E21" s="21"/>
      <c r="F21" s="21" t="s">
        <v>4</v>
      </c>
      <c r="G21" s="71">
        <v>3</v>
      </c>
      <c r="H21" s="21" t="s">
        <v>105</v>
      </c>
      <c r="I21" s="21" t="s">
        <v>106</v>
      </c>
      <c r="J21" s="20">
        <v>539594</v>
      </c>
      <c r="K21" s="73">
        <v>5</v>
      </c>
      <c r="L21" s="66" t="s">
        <v>145</v>
      </c>
      <c r="M21" s="21"/>
      <c r="N21" s="22"/>
      <c r="O21" s="22"/>
      <c r="P21" s="73">
        <v>3</v>
      </c>
      <c r="Q21" s="73">
        <v>2</v>
      </c>
      <c r="R21" s="73">
        <v>3</v>
      </c>
      <c r="S21" s="20">
        <f>P21+Q21+R21</f>
        <v>8</v>
      </c>
      <c r="T21" s="26"/>
      <c r="U21" s="21" t="s">
        <v>146</v>
      </c>
      <c r="V21" s="31"/>
    </row>
    <row r="22" spans="1:22" ht="15.75">
      <c r="A22" s="18">
        <v>135</v>
      </c>
      <c r="B22" s="68">
        <v>46210</v>
      </c>
      <c r="C22" s="21" t="s">
        <v>131</v>
      </c>
      <c r="D22" s="67" t="s">
        <v>104</v>
      </c>
      <c r="E22" s="42"/>
      <c r="F22" s="40" t="s">
        <v>4</v>
      </c>
      <c r="G22" s="71"/>
      <c r="H22" s="40" t="s">
        <v>105</v>
      </c>
      <c r="I22" s="21" t="s">
        <v>134</v>
      </c>
      <c r="J22" s="20">
        <v>706752</v>
      </c>
      <c r="K22" s="73"/>
      <c r="L22" s="66" t="s">
        <v>147</v>
      </c>
      <c r="M22" s="21" t="s">
        <v>55</v>
      </c>
      <c r="N22" s="22"/>
      <c r="O22" s="22"/>
      <c r="P22" s="91"/>
      <c r="Q22" s="91"/>
      <c r="R22" s="91"/>
      <c r="S22" s="66"/>
      <c r="T22" s="92"/>
      <c r="U22" s="66"/>
      <c r="V22" s="66"/>
    </row>
    <row r="23" spans="1:22" ht="15.75">
      <c r="A23" s="18">
        <v>129</v>
      </c>
      <c r="B23" s="68">
        <v>46182</v>
      </c>
      <c r="C23" s="21" t="s">
        <v>103</v>
      </c>
      <c r="D23" s="67" t="s">
        <v>104</v>
      </c>
      <c r="E23" s="21"/>
      <c r="F23" s="21" t="s">
        <v>4</v>
      </c>
      <c r="G23" s="71"/>
      <c r="H23" s="21" t="s">
        <v>105</v>
      </c>
      <c r="I23" s="21" t="s">
        <v>106</v>
      </c>
      <c r="J23" s="20">
        <v>670511</v>
      </c>
      <c r="K23" s="73">
        <v>3</v>
      </c>
      <c r="L23" s="66" t="s">
        <v>148</v>
      </c>
      <c r="M23" s="21" t="s">
        <v>110</v>
      </c>
      <c r="N23" s="22"/>
      <c r="O23" s="22" t="b">
        <v>1</v>
      </c>
      <c r="P23" s="73"/>
      <c r="Q23" s="73"/>
      <c r="R23" s="73"/>
      <c r="S23" s="20"/>
      <c r="T23" s="89"/>
      <c r="U23" s="21"/>
      <c r="V23" s="31"/>
    </row>
    <row r="24" spans="1:22" ht="15.75">
      <c r="A24" s="18">
        <v>31</v>
      </c>
      <c r="B24" s="68">
        <v>9427</v>
      </c>
      <c r="C24" s="21" t="s">
        <v>103</v>
      </c>
      <c r="D24" s="67" t="s">
        <v>104</v>
      </c>
      <c r="E24" s="21"/>
      <c r="F24" s="21" t="s">
        <v>5</v>
      </c>
      <c r="G24" s="71" t="s">
        <v>112</v>
      </c>
      <c r="H24" s="21" t="s">
        <v>105</v>
      </c>
      <c r="I24" s="21" t="s">
        <v>106</v>
      </c>
      <c r="J24" s="20">
        <v>358303</v>
      </c>
      <c r="K24" s="73"/>
      <c r="L24" s="66" t="s">
        <v>149</v>
      </c>
      <c r="M24" s="21" t="s">
        <v>55</v>
      </c>
      <c r="N24" s="22" t="b">
        <v>1</v>
      </c>
      <c r="O24" s="22"/>
      <c r="P24" s="73" t="s">
        <v>112</v>
      </c>
      <c r="Q24" s="73" t="s">
        <v>112</v>
      </c>
      <c r="R24" s="73" t="s">
        <v>112</v>
      </c>
      <c r="S24" s="20" t="e">
        <f>P24+Q24+R24</f>
        <v>#VALUE!</v>
      </c>
      <c r="T24" s="26"/>
      <c r="U24" s="21"/>
      <c r="V24" s="31"/>
    </row>
    <row r="25" spans="1:22" ht="15.75">
      <c r="A25" s="18">
        <v>12</v>
      </c>
      <c r="B25" s="68">
        <v>9616</v>
      </c>
      <c r="C25" s="21" t="s">
        <v>103</v>
      </c>
      <c r="D25" s="67" t="s">
        <v>104</v>
      </c>
      <c r="E25" s="21"/>
      <c r="F25" s="21" t="s">
        <v>4</v>
      </c>
      <c r="G25" s="71">
        <v>1</v>
      </c>
      <c r="H25" s="21" t="s">
        <v>105</v>
      </c>
      <c r="I25" s="21" t="s">
        <v>106</v>
      </c>
      <c r="J25" s="20">
        <v>625264</v>
      </c>
      <c r="K25" s="73">
        <v>9</v>
      </c>
      <c r="L25" s="66" t="s">
        <v>120</v>
      </c>
      <c r="M25" s="21"/>
      <c r="N25" s="22"/>
      <c r="O25" s="22"/>
      <c r="P25" s="73">
        <v>2</v>
      </c>
      <c r="Q25" s="73">
        <v>1</v>
      </c>
      <c r="R25" s="73">
        <v>2</v>
      </c>
      <c r="S25" s="20">
        <f>P25+Q25+R25</f>
        <v>5</v>
      </c>
      <c r="T25" s="26"/>
      <c r="U25" s="21"/>
      <c r="V25" s="31"/>
    </row>
    <row r="26" spans="1:22" ht="15.75">
      <c r="A26" s="18">
        <v>133</v>
      </c>
      <c r="B26" s="68">
        <v>46198</v>
      </c>
      <c r="C26" s="21" t="s">
        <v>103</v>
      </c>
      <c r="D26" s="67" t="s">
        <v>104</v>
      </c>
      <c r="E26" s="21"/>
      <c r="F26" s="21" t="s">
        <v>4</v>
      </c>
      <c r="G26" s="71">
        <v>1</v>
      </c>
      <c r="H26" s="21" t="s">
        <v>105</v>
      </c>
      <c r="I26" s="21" t="s">
        <v>134</v>
      </c>
      <c r="J26" s="20"/>
      <c r="K26" s="73"/>
      <c r="L26" s="66" t="s">
        <v>150</v>
      </c>
      <c r="M26" s="21" t="s">
        <v>110</v>
      </c>
      <c r="N26" s="22"/>
      <c r="O26" s="22" t="b">
        <v>1</v>
      </c>
      <c r="P26" s="73"/>
      <c r="Q26" s="73"/>
      <c r="R26" s="73"/>
      <c r="S26" s="20"/>
      <c r="T26" s="26"/>
      <c r="U26" s="21"/>
      <c r="V26" s="31"/>
    </row>
    <row r="27" spans="1:22" ht="15.75">
      <c r="A27" s="18">
        <v>130</v>
      </c>
      <c r="B27" s="68">
        <v>46183</v>
      </c>
      <c r="C27" s="21" t="s">
        <v>103</v>
      </c>
      <c r="D27" s="67" t="s">
        <v>104</v>
      </c>
      <c r="E27" s="21"/>
      <c r="F27" s="21" t="s">
        <v>5</v>
      </c>
      <c r="G27" s="71">
        <v>1</v>
      </c>
      <c r="H27" s="21" t="s">
        <v>105</v>
      </c>
      <c r="I27" s="21" t="s">
        <v>134</v>
      </c>
      <c r="J27" s="20">
        <v>543212</v>
      </c>
      <c r="K27" s="73"/>
      <c r="L27" s="66" t="s">
        <v>151</v>
      </c>
      <c r="M27" s="21"/>
      <c r="N27" s="22"/>
      <c r="O27" s="22" t="b">
        <v>1</v>
      </c>
      <c r="P27" s="73">
        <v>1</v>
      </c>
      <c r="Q27" s="73">
        <v>1</v>
      </c>
      <c r="R27" s="73">
        <v>1</v>
      </c>
      <c r="S27" s="20">
        <f>P27+Q27+R27</f>
        <v>3</v>
      </c>
      <c r="T27" s="26"/>
      <c r="U27" s="21" t="s">
        <v>152</v>
      </c>
      <c r="V27" s="31"/>
    </row>
    <row r="28" spans="1:22" ht="15.75">
      <c r="A28" s="18">
        <v>28</v>
      </c>
      <c r="B28" s="68">
        <v>46238</v>
      </c>
      <c r="C28" s="21" t="s">
        <v>103</v>
      </c>
      <c r="D28" s="67" t="s">
        <v>104</v>
      </c>
      <c r="E28" s="21"/>
      <c r="F28" s="21" t="s">
        <v>4</v>
      </c>
      <c r="G28" s="71">
        <v>1</v>
      </c>
      <c r="H28" s="21" t="s">
        <v>105</v>
      </c>
      <c r="I28" s="21" t="s">
        <v>106</v>
      </c>
      <c r="J28" s="20">
        <v>539556</v>
      </c>
      <c r="K28" s="73">
        <v>6</v>
      </c>
      <c r="L28" s="66" t="s">
        <v>153</v>
      </c>
      <c r="M28" s="85" t="s">
        <v>110</v>
      </c>
      <c r="N28" s="22"/>
      <c r="O28" s="22" t="b">
        <v>1</v>
      </c>
      <c r="P28" s="73">
        <v>1</v>
      </c>
      <c r="Q28" s="73">
        <v>2</v>
      </c>
      <c r="R28" s="73">
        <v>2</v>
      </c>
      <c r="S28" s="20">
        <f>P28+Q28+R28</f>
        <v>5</v>
      </c>
      <c r="T28" s="26"/>
      <c r="U28" s="21"/>
      <c r="V28" s="31"/>
    </row>
    <row r="29" spans="1:22" ht="15.75">
      <c r="A29" s="18">
        <v>26</v>
      </c>
      <c r="B29" s="68">
        <v>46238</v>
      </c>
      <c r="C29" s="21" t="s">
        <v>103</v>
      </c>
      <c r="D29" s="67" t="s">
        <v>104</v>
      </c>
      <c r="E29" s="21"/>
      <c r="F29" s="21" t="s">
        <v>5</v>
      </c>
      <c r="G29" s="71">
        <v>3</v>
      </c>
      <c r="H29" s="21" t="s">
        <v>105</v>
      </c>
      <c r="I29" s="21" t="s">
        <v>106</v>
      </c>
      <c r="J29" s="20">
        <v>539590</v>
      </c>
      <c r="K29" s="73"/>
      <c r="L29" s="66" t="s">
        <v>154</v>
      </c>
      <c r="M29" s="21" t="s">
        <v>55</v>
      </c>
      <c r="N29" s="22" t="b">
        <v>1</v>
      </c>
      <c r="O29" s="22" t="b">
        <v>0</v>
      </c>
      <c r="P29" s="73">
        <v>3</v>
      </c>
      <c r="Q29" s="73">
        <v>3</v>
      </c>
      <c r="R29" s="73">
        <v>3</v>
      </c>
      <c r="S29" s="20">
        <f>P29+Q29+R29</f>
        <v>9</v>
      </c>
      <c r="T29" s="26"/>
      <c r="U29" s="21"/>
      <c r="V29" s="31"/>
    </row>
    <row r="30" spans="1:22" ht="15.75">
      <c r="A30" s="18">
        <v>22</v>
      </c>
      <c r="B30" s="68">
        <v>46269</v>
      </c>
      <c r="C30" s="21" t="s">
        <v>103</v>
      </c>
      <c r="D30" s="67" t="s">
        <v>104</v>
      </c>
      <c r="E30" s="21"/>
      <c r="F30" s="21" t="s">
        <v>5</v>
      </c>
      <c r="G30" s="71">
        <v>3</v>
      </c>
      <c r="H30" s="21" t="s">
        <v>105</v>
      </c>
      <c r="I30" s="21" t="s">
        <v>106</v>
      </c>
      <c r="J30" s="20">
        <v>543148</v>
      </c>
      <c r="K30" s="73"/>
      <c r="L30" s="66" t="s">
        <v>155</v>
      </c>
      <c r="M30" s="21" t="s">
        <v>55</v>
      </c>
      <c r="N30" s="22" t="b">
        <v>1</v>
      </c>
      <c r="O30" s="22"/>
      <c r="P30" s="73">
        <v>3</v>
      </c>
      <c r="Q30" s="73">
        <v>2</v>
      </c>
      <c r="R30" s="73">
        <v>2</v>
      </c>
      <c r="S30" s="20">
        <f>P30+Q30+R30</f>
        <v>7</v>
      </c>
      <c r="T30" s="26"/>
      <c r="U30" s="21"/>
      <c r="V30" s="31"/>
    </row>
    <row r="31" spans="1:22" ht="15.75">
      <c r="A31" s="18">
        <v>23</v>
      </c>
      <c r="B31" s="68">
        <v>46238</v>
      </c>
      <c r="C31" s="21" t="s">
        <v>103</v>
      </c>
      <c r="D31" s="67" t="s">
        <v>104</v>
      </c>
      <c r="E31" s="21"/>
      <c r="F31" s="21" t="s">
        <v>5</v>
      </c>
      <c r="G31" s="71">
        <v>1</v>
      </c>
      <c r="H31" s="21" t="s">
        <v>105</v>
      </c>
      <c r="I31" s="21" t="s">
        <v>106</v>
      </c>
      <c r="J31" s="20">
        <v>539664</v>
      </c>
      <c r="K31" s="73"/>
      <c r="L31" s="66" t="s">
        <v>156</v>
      </c>
      <c r="M31" s="21" t="s">
        <v>110</v>
      </c>
      <c r="N31" s="22"/>
      <c r="O31" s="22" t="b">
        <v>1</v>
      </c>
      <c r="P31" s="73">
        <v>1</v>
      </c>
      <c r="Q31" s="73">
        <v>3</v>
      </c>
      <c r="R31" s="73">
        <v>3</v>
      </c>
      <c r="S31" s="20">
        <f>P31+Q31+R31</f>
        <v>7</v>
      </c>
      <c r="T31" s="26"/>
      <c r="U31" s="21"/>
      <c r="V31" s="68"/>
    </row>
    <row r="32" spans="1:22" ht="15.75">
      <c r="A32" s="18">
        <v>32</v>
      </c>
      <c r="B32" s="68">
        <v>9518</v>
      </c>
      <c r="C32" s="21" t="s">
        <v>103</v>
      </c>
      <c r="D32" s="67" t="s">
        <v>104</v>
      </c>
      <c r="E32" s="21" t="s">
        <v>157</v>
      </c>
      <c r="F32" s="21" t="s">
        <v>4</v>
      </c>
      <c r="G32" s="71">
        <v>2</v>
      </c>
      <c r="H32" s="21" t="s">
        <v>115</v>
      </c>
      <c r="I32" s="21" t="s">
        <v>106</v>
      </c>
      <c r="J32" s="20">
        <v>389294</v>
      </c>
      <c r="K32" s="73">
        <v>2</v>
      </c>
      <c r="L32" s="66" t="s">
        <v>158</v>
      </c>
      <c r="M32" s="21"/>
      <c r="N32" s="22"/>
      <c r="O32" s="22"/>
      <c r="P32" s="73">
        <v>3</v>
      </c>
      <c r="Q32" s="73">
        <v>3</v>
      </c>
      <c r="R32" s="73">
        <v>3</v>
      </c>
      <c r="S32" s="20">
        <f>P32+Q32+R32</f>
        <v>9</v>
      </c>
      <c r="T32" s="84"/>
      <c r="U32" s="21"/>
      <c r="V32" s="31"/>
    </row>
    <row r="33" spans="1:22" ht="15.75">
      <c r="A33" s="18">
        <v>33</v>
      </c>
      <c r="B33" s="68">
        <v>9579</v>
      </c>
      <c r="C33" s="21" t="s">
        <v>129</v>
      </c>
      <c r="D33" s="67" t="s">
        <v>106</v>
      </c>
      <c r="E33" s="21"/>
      <c r="F33" s="21" t="s">
        <v>4</v>
      </c>
      <c r="G33" s="71">
        <v>1</v>
      </c>
      <c r="H33" s="21" t="s">
        <v>159</v>
      </c>
      <c r="I33" s="21" t="s">
        <v>106</v>
      </c>
      <c r="J33" s="20">
        <v>484927</v>
      </c>
      <c r="K33" s="73">
        <v>21</v>
      </c>
      <c r="L33" s="66" t="s">
        <v>160</v>
      </c>
      <c r="M33" s="21"/>
      <c r="N33" s="22"/>
      <c r="O33" s="22"/>
      <c r="P33" s="73">
        <v>1</v>
      </c>
      <c r="Q33" s="73">
        <v>1</v>
      </c>
      <c r="R33" s="73">
        <v>1</v>
      </c>
      <c r="S33" s="20">
        <f>P33+Q33+R33</f>
        <v>3</v>
      </c>
      <c r="T33" s="84"/>
      <c r="U33" s="21"/>
      <c r="V33" s="31"/>
    </row>
    <row r="34" spans="1:22" ht="15.75">
      <c r="A34" s="18">
        <v>34</v>
      </c>
      <c r="B34" s="68">
        <v>46329</v>
      </c>
      <c r="C34" s="21" t="s">
        <v>103</v>
      </c>
      <c r="D34" s="67" t="s">
        <v>104</v>
      </c>
      <c r="E34" s="21" t="s">
        <v>161</v>
      </c>
      <c r="F34" s="21" t="s">
        <v>4</v>
      </c>
      <c r="G34" s="71">
        <v>1</v>
      </c>
      <c r="H34" s="21" t="s">
        <v>159</v>
      </c>
      <c r="I34" s="21" t="s">
        <v>106</v>
      </c>
      <c r="J34" s="20">
        <v>419044</v>
      </c>
      <c r="K34" s="73">
        <v>20</v>
      </c>
      <c r="L34" s="66" t="s">
        <v>162</v>
      </c>
      <c r="M34" s="21"/>
      <c r="N34" s="22"/>
      <c r="O34" s="22"/>
      <c r="P34" s="73">
        <v>1</v>
      </c>
      <c r="Q34" s="73">
        <v>1</v>
      </c>
      <c r="R34" s="73">
        <v>1</v>
      </c>
      <c r="S34" s="20">
        <f>P34+Q34+R34</f>
        <v>3</v>
      </c>
      <c r="T34" s="84"/>
      <c r="U34" s="21"/>
      <c r="V34" s="31"/>
    </row>
    <row r="35" spans="1:22" ht="15.75">
      <c r="A35" s="18">
        <v>35</v>
      </c>
      <c r="B35" s="68">
        <v>9511</v>
      </c>
      <c r="C35" s="21" t="s">
        <v>103</v>
      </c>
      <c r="D35" s="67" t="s">
        <v>104</v>
      </c>
      <c r="E35" s="21"/>
      <c r="F35" s="21" t="s">
        <v>4</v>
      </c>
      <c r="G35" s="71">
        <v>1</v>
      </c>
      <c r="H35" s="21" t="s">
        <v>105</v>
      </c>
      <c r="I35" s="21" t="s">
        <v>106</v>
      </c>
      <c r="J35" s="20">
        <v>387493</v>
      </c>
      <c r="K35" s="73">
        <v>20</v>
      </c>
      <c r="L35" s="66" t="s">
        <v>163</v>
      </c>
      <c r="M35" s="21"/>
      <c r="N35" s="22"/>
      <c r="O35" s="22"/>
      <c r="P35" s="73">
        <v>1</v>
      </c>
      <c r="Q35" s="73">
        <v>1</v>
      </c>
      <c r="R35" s="73">
        <v>1</v>
      </c>
      <c r="S35" s="20">
        <f>P35+Q35+R35</f>
        <v>3</v>
      </c>
      <c r="T35" s="84"/>
      <c r="U35" s="21"/>
      <c r="V35" s="31"/>
    </row>
    <row r="36" spans="1:22" ht="15.75">
      <c r="A36" s="18">
        <v>36</v>
      </c>
      <c r="B36" s="68">
        <v>46177</v>
      </c>
      <c r="C36" s="21" t="s">
        <v>103</v>
      </c>
      <c r="D36" s="67" t="s">
        <v>104</v>
      </c>
      <c r="E36" s="21" t="s">
        <v>164</v>
      </c>
      <c r="F36" s="21" t="s">
        <v>4</v>
      </c>
      <c r="G36" s="71" t="s">
        <v>112</v>
      </c>
      <c r="H36" s="21" t="s">
        <v>105</v>
      </c>
      <c r="I36" s="21" t="s">
        <v>106</v>
      </c>
      <c r="J36" s="20">
        <v>534334</v>
      </c>
      <c r="K36" s="73" t="s">
        <v>112</v>
      </c>
      <c r="L36" s="66" t="s">
        <v>165</v>
      </c>
      <c r="M36" s="21"/>
      <c r="N36" s="22"/>
      <c r="O36" s="22"/>
      <c r="P36" s="73" t="s">
        <v>112</v>
      </c>
      <c r="Q36" s="73" t="s">
        <v>112</v>
      </c>
      <c r="R36" s="73" t="s">
        <v>112</v>
      </c>
      <c r="S36" s="20" t="e">
        <f>P36+Q36+R36</f>
        <v>#VALUE!</v>
      </c>
      <c r="T36" s="84"/>
      <c r="U36" s="21"/>
      <c r="V36" s="31"/>
    </row>
    <row r="37" spans="1:22" ht="15.75">
      <c r="A37" s="18">
        <v>37</v>
      </c>
      <c r="B37" s="68">
        <v>46205</v>
      </c>
      <c r="C37" s="21" t="s">
        <v>103</v>
      </c>
      <c r="D37" s="67" t="s">
        <v>104</v>
      </c>
      <c r="E37" s="21"/>
      <c r="F37" s="21" t="s">
        <v>4</v>
      </c>
      <c r="G37" s="71">
        <v>3</v>
      </c>
      <c r="H37" s="21" t="s">
        <v>105</v>
      </c>
      <c r="I37" s="21" t="s">
        <v>106</v>
      </c>
      <c r="J37" s="20">
        <v>394012</v>
      </c>
      <c r="K37" s="73">
        <v>4</v>
      </c>
      <c r="L37" s="66" t="s">
        <v>166</v>
      </c>
      <c r="M37" s="21"/>
      <c r="N37" s="22"/>
      <c r="O37" s="22"/>
      <c r="P37" s="73">
        <v>3</v>
      </c>
      <c r="Q37" s="73">
        <v>3</v>
      </c>
      <c r="R37" s="73">
        <v>3</v>
      </c>
      <c r="S37" s="20">
        <f>P37+Q37+R37</f>
        <v>9</v>
      </c>
      <c r="T37" s="84"/>
      <c r="U37" s="21"/>
      <c r="V37" s="31"/>
    </row>
    <row r="38" spans="1:22" ht="15.75">
      <c r="A38" s="18">
        <v>38</v>
      </c>
      <c r="B38" s="68">
        <v>46115</v>
      </c>
      <c r="C38" s="21" t="s">
        <v>103</v>
      </c>
      <c r="D38" s="67" t="s">
        <v>104</v>
      </c>
      <c r="E38" s="21"/>
      <c r="F38" s="21" t="s">
        <v>4</v>
      </c>
      <c r="G38" s="71" t="s">
        <v>112</v>
      </c>
      <c r="H38" s="21" t="s">
        <v>105</v>
      </c>
      <c r="I38" s="21" t="s">
        <v>106</v>
      </c>
      <c r="J38" s="20">
        <v>409101</v>
      </c>
      <c r="K38" s="73" t="s">
        <v>112</v>
      </c>
      <c r="L38" s="66" t="s">
        <v>167</v>
      </c>
      <c r="M38" s="21"/>
      <c r="N38" s="22"/>
      <c r="O38" s="22"/>
      <c r="P38" s="73" t="s">
        <v>112</v>
      </c>
      <c r="Q38" s="73" t="s">
        <v>112</v>
      </c>
      <c r="R38" s="73" t="s">
        <v>112</v>
      </c>
      <c r="S38" s="20" t="e">
        <f>P38+Q38+R38</f>
        <v>#VALUE!</v>
      </c>
      <c r="T38" s="84"/>
      <c r="U38" s="21"/>
      <c r="V38" s="31"/>
    </row>
    <row r="39" spans="1:22" ht="15.75">
      <c r="A39" s="18">
        <v>39</v>
      </c>
      <c r="B39" s="68">
        <v>46329</v>
      </c>
      <c r="C39" s="21" t="s">
        <v>103</v>
      </c>
      <c r="D39" s="67" t="s">
        <v>104</v>
      </c>
      <c r="E39" s="21"/>
      <c r="F39" s="21" t="s">
        <v>4</v>
      </c>
      <c r="G39" s="71">
        <v>2</v>
      </c>
      <c r="H39" s="21" t="s">
        <v>105</v>
      </c>
      <c r="I39" s="21" t="s">
        <v>106</v>
      </c>
      <c r="J39" s="20">
        <v>417288</v>
      </c>
      <c r="K39" s="73">
        <v>2</v>
      </c>
      <c r="L39" s="66" t="s">
        <v>168</v>
      </c>
      <c r="M39" s="21"/>
      <c r="N39" s="22"/>
      <c r="O39" s="22"/>
      <c r="P39" s="73">
        <v>3</v>
      </c>
      <c r="Q39" s="73">
        <v>3</v>
      </c>
      <c r="R39" s="73">
        <v>3</v>
      </c>
      <c r="S39" s="20">
        <f>P39+Q39+R39</f>
        <v>9</v>
      </c>
      <c r="T39" s="84"/>
      <c r="U39" s="21"/>
      <c r="V39" s="31"/>
    </row>
    <row r="40" spans="1:22" ht="15.75">
      <c r="A40" s="18">
        <v>40</v>
      </c>
      <c r="B40" s="68">
        <v>9488</v>
      </c>
      <c r="C40" s="21" t="s">
        <v>118</v>
      </c>
      <c r="D40" s="67" t="s">
        <v>104</v>
      </c>
      <c r="E40" s="21"/>
      <c r="F40" s="21" t="s">
        <v>4</v>
      </c>
      <c r="G40" s="71">
        <v>3</v>
      </c>
      <c r="H40" s="21" t="s">
        <v>105</v>
      </c>
      <c r="I40" s="21" t="s">
        <v>106</v>
      </c>
      <c r="J40" s="20">
        <v>383071</v>
      </c>
      <c r="K40" s="73">
        <v>4</v>
      </c>
      <c r="L40" s="66" t="s">
        <v>169</v>
      </c>
      <c r="M40" s="21"/>
      <c r="N40" s="22"/>
      <c r="O40" s="22"/>
      <c r="P40" s="73">
        <v>3</v>
      </c>
      <c r="Q40" s="73">
        <v>3</v>
      </c>
      <c r="R40" s="73">
        <v>3</v>
      </c>
      <c r="S40" s="20">
        <f>P40+Q40+R40</f>
        <v>9</v>
      </c>
      <c r="T40" s="84"/>
      <c r="U40" s="21"/>
      <c r="V40" s="31"/>
    </row>
    <row r="41" spans="1:22" ht="15.75">
      <c r="A41" s="18">
        <v>41</v>
      </c>
      <c r="B41" s="68">
        <v>46205</v>
      </c>
      <c r="C41" s="21" t="s">
        <v>103</v>
      </c>
      <c r="D41" s="67" t="s">
        <v>104</v>
      </c>
      <c r="E41" s="21"/>
      <c r="F41" s="21" t="s">
        <v>4</v>
      </c>
      <c r="G41" s="71">
        <v>1</v>
      </c>
      <c r="H41" s="21" t="s">
        <v>159</v>
      </c>
      <c r="I41" s="21" t="s">
        <v>106</v>
      </c>
      <c r="J41" s="20">
        <v>394013</v>
      </c>
      <c r="K41" s="73">
        <v>13</v>
      </c>
      <c r="L41" s="66" t="s">
        <v>170</v>
      </c>
      <c r="M41" s="21"/>
      <c r="N41" s="22"/>
      <c r="O41" s="22"/>
      <c r="P41" s="73">
        <v>2</v>
      </c>
      <c r="Q41" s="73">
        <v>1</v>
      </c>
      <c r="R41" s="73">
        <v>2</v>
      </c>
      <c r="S41" s="20">
        <f>P41+Q41+R41</f>
        <v>5</v>
      </c>
      <c r="T41" s="84"/>
      <c r="U41" s="21"/>
      <c r="V41" s="31"/>
    </row>
    <row r="42" spans="1:22" ht="15.75">
      <c r="A42" s="18">
        <v>42</v>
      </c>
      <c r="B42" s="68">
        <v>9574</v>
      </c>
      <c r="C42" s="21" t="s">
        <v>121</v>
      </c>
      <c r="D42" s="67" t="s">
        <v>104</v>
      </c>
      <c r="E42" s="21"/>
      <c r="F42" s="21" t="s">
        <v>4</v>
      </c>
      <c r="G42" s="71">
        <v>3</v>
      </c>
      <c r="H42" s="21" t="s">
        <v>105</v>
      </c>
      <c r="I42" s="21" t="s">
        <v>106</v>
      </c>
      <c r="J42" s="20">
        <v>457607</v>
      </c>
      <c r="K42" s="73">
        <v>10</v>
      </c>
      <c r="L42" s="66" t="s">
        <v>171</v>
      </c>
      <c r="M42" s="21"/>
      <c r="N42" s="22"/>
      <c r="O42" s="22"/>
      <c r="P42" s="73">
        <v>3</v>
      </c>
      <c r="Q42" s="73">
        <v>2</v>
      </c>
      <c r="R42" s="73">
        <v>2</v>
      </c>
      <c r="S42" s="20">
        <f>P42+Q42+R42</f>
        <v>7</v>
      </c>
      <c r="T42" s="84"/>
      <c r="U42" s="21"/>
      <c r="V42" s="31"/>
    </row>
    <row r="43" spans="1:22" ht="15.75">
      <c r="A43" s="18">
        <v>43</v>
      </c>
      <c r="B43" s="68">
        <v>46359</v>
      </c>
      <c r="C43" s="21" t="s">
        <v>118</v>
      </c>
      <c r="D43" s="67" t="s">
        <v>104</v>
      </c>
      <c r="E43" s="21"/>
      <c r="F43" s="21" t="s">
        <v>4</v>
      </c>
      <c r="G43" s="71">
        <v>1</v>
      </c>
      <c r="H43" s="21" t="s">
        <v>105</v>
      </c>
      <c r="I43" s="21" t="s">
        <v>106</v>
      </c>
      <c r="J43" s="20">
        <v>428396</v>
      </c>
      <c r="K43" s="73">
        <v>19</v>
      </c>
      <c r="L43" s="66" t="s">
        <v>172</v>
      </c>
      <c r="M43" s="21"/>
      <c r="N43" s="22"/>
      <c r="O43" s="22"/>
      <c r="P43" s="73">
        <v>1</v>
      </c>
      <c r="Q43" s="73">
        <v>1</v>
      </c>
      <c r="R43" s="73">
        <v>1</v>
      </c>
      <c r="S43" s="20">
        <f>P43+Q43+R43</f>
        <v>3</v>
      </c>
      <c r="T43" s="84"/>
      <c r="U43" s="21"/>
      <c r="V43" s="31"/>
    </row>
    <row r="44" spans="1:22" ht="15.75">
      <c r="A44" s="18">
        <v>44</v>
      </c>
      <c r="B44" s="68">
        <v>9551</v>
      </c>
      <c r="C44" s="21" t="s">
        <v>118</v>
      </c>
      <c r="D44" s="67" t="s">
        <v>104</v>
      </c>
      <c r="E44" s="21"/>
      <c r="F44" s="21" t="s">
        <v>4</v>
      </c>
      <c r="G44" s="71" t="s">
        <v>112</v>
      </c>
      <c r="H44" s="21" t="s">
        <v>159</v>
      </c>
      <c r="I44" s="21" t="s">
        <v>106</v>
      </c>
      <c r="J44" s="20">
        <v>397404</v>
      </c>
      <c r="K44" s="73" t="s">
        <v>112</v>
      </c>
      <c r="L44" s="66" t="s">
        <v>173</v>
      </c>
      <c r="M44" s="21"/>
      <c r="N44" s="22"/>
      <c r="O44" s="22"/>
      <c r="P44" s="73" t="s">
        <v>112</v>
      </c>
      <c r="Q44" s="73" t="s">
        <v>112</v>
      </c>
      <c r="R44" s="73" t="s">
        <v>112</v>
      </c>
      <c r="S44" s="20" t="e">
        <f>P44+Q44+R44</f>
        <v>#VALUE!</v>
      </c>
      <c r="T44" s="84"/>
      <c r="U44" s="21"/>
      <c r="V44" s="31"/>
    </row>
    <row r="45" spans="1:22" ht="15.75">
      <c r="A45" s="18">
        <v>45</v>
      </c>
      <c r="B45" s="68">
        <v>9453</v>
      </c>
      <c r="C45" s="21" t="s">
        <v>174</v>
      </c>
      <c r="D45" s="67" t="s">
        <v>104</v>
      </c>
      <c r="E45" s="21"/>
      <c r="F45" s="21" t="s">
        <v>4</v>
      </c>
      <c r="G45" s="71" t="s">
        <v>112</v>
      </c>
      <c r="H45" s="21" t="s">
        <v>105</v>
      </c>
      <c r="I45" s="21" t="s">
        <v>106</v>
      </c>
      <c r="J45" s="20">
        <v>370939</v>
      </c>
      <c r="K45" s="73" t="s">
        <v>112</v>
      </c>
      <c r="L45" s="66" t="s">
        <v>175</v>
      </c>
      <c r="M45" s="21"/>
      <c r="N45" s="22"/>
      <c r="O45" s="22"/>
      <c r="P45" s="73" t="s">
        <v>112</v>
      </c>
      <c r="Q45" s="73" t="s">
        <v>112</v>
      </c>
      <c r="R45" s="73" t="s">
        <v>112</v>
      </c>
      <c r="S45" s="20" t="e">
        <f>P45+Q45+R45</f>
        <v>#VALUE!</v>
      </c>
      <c r="T45" s="84"/>
      <c r="U45" s="21"/>
      <c r="V45" s="31"/>
    </row>
    <row r="46" spans="1:22" ht="15.75">
      <c r="A46" s="18">
        <v>46</v>
      </c>
      <c r="B46" s="68">
        <v>9513</v>
      </c>
      <c r="C46" s="21" t="s">
        <v>103</v>
      </c>
      <c r="D46" s="67" t="s">
        <v>104</v>
      </c>
      <c r="E46" s="21"/>
      <c r="F46" s="21" t="s">
        <v>4</v>
      </c>
      <c r="G46" s="71">
        <v>3</v>
      </c>
      <c r="H46" s="21" t="s">
        <v>105</v>
      </c>
      <c r="I46" s="21" t="s">
        <v>106</v>
      </c>
      <c r="J46" s="20">
        <v>388244</v>
      </c>
      <c r="K46" s="73">
        <v>5</v>
      </c>
      <c r="L46" s="66" t="s">
        <v>176</v>
      </c>
      <c r="M46" s="21"/>
      <c r="N46" s="22"/>
      <c r="O46" s="22"/>
      <c r="P46" s="73">
        <v>3</v>
      </c>
      <c r="Q46" s="73">
        <v>3</v>
      </c>
      <c r="R46" s="73">
        <v>3</v>
      </c>
      <c r="S46" s="20">
        <f>P46+Q46+R46</f>
        <v>9</v>
      </c>
      <c r="T46" s="84"/>
      <c r="U46" s="21"/>
      <c r="V46" s="31"/>
    </row>
    <row r="47" spans="1:22" ht="15.75">
      <c r="A47" s="18">
        <v>47</v>
      </c>
      <c r="B47" s="68">
        <v>45700</v>
      </c>
      <c r="C47" s="21" t="s">
        <v>103</v>
      </c>
      <c r="D47" s="67" t="s">
        <v>104</v>
      </c>
      <c r="E47" s="21"/>
      <c r="F47" s="21" t="s">
        <v>4</v>
      </c>
      <c r="G47" s="71" t="s">
        <v>112</v>
      </c>
      <c r="H47" s="21" t="s">
        <v>105</v>
      </c>
      <c r="I47" s="21" t="s">
        <v>106</v>
      </c>
      <c r="J47" s="20">
        <v>376474</v>
      </c>
      <c r="K47" s="73" t="s">
        <v>112</v>
      </c>
      <c r="L47" s="66" t="s">
        <v>177</v>
      </c>
      <c r="M47" s="21"/>
      <c r="N47" s="22"/>
      <c r="O47" s="22"/>
      <c r="P47" s="73" t="s">
        <v>112</v>
      </c>
      <c r="Q47" s="73" t="s">
        <v>112</v>
      </c>
      <c r="R47" s="73" t="s">
        <v>112</v>
      </c>
      <c r="S47" s="20" t="e">
        <f>P47+Q47+R47</f>
        <v>#VALUE!</v>
      </c>
      <c r="T47" s="84"/>
      <c r="U47" s="21"/>
      <c r="V47" s="31"/>
    </row>
    <row r="48" spans="1:22" ht="15.75">
      <c r="A48" s="18">
        <v>48</v>
      </c>
      <c r="B48" s="68">
        <v>9569</v>
      </c>
      <c r="C48" s="21" t="s">
        <v>103</v>
      </c>
      <c r="D48" s="67" t="s">
        <v>104</v>
      </c>
      <c r="E48" s="21"/>
      <c r="F48" s="21" t="s">
        <v>4</v>
      </c>
      <c r="G48" s="71">
        <v>3</v>
      </c>
      <c r="H48" s="21" t="s">
        <v>159</v>
      </c>
      <c r="I48" s="21" t="s">
        <v>106</v>
      </c>
      <c r="J48" s="20">
        <v>434664</v>
      </c>
      <c r="K48" s="73">
        <v>10</v>
      </c>
      <c r="L48" s="66" t="s">
        <v>178</v>
      </c>
      <c r="M48" s="21"/>
      <c r="N48" s="22"/>
      <c r="O48" s="22"/>
      <c r="P48" s="73">
        <v>3</v>
      </c>
      <c r="Q48" s="73">
        <v>2</v>
      </c>
      <c r="R48" s="73">
        <v>2</v>
      </c>
      <c r="S48" s="20">
        <f>P48+Q48+R48</f>
        <v>7</v>
      </c>
      <c r="T48" s="84"/>
      <c r="U48" s="21"/>
      <c r="V48" s="31"/>
    </row>
    <row r="49" spans="1:22" ht="15.75">
      <c r="A49" s="18">
        <v>49</v>
      </c>
      <c r="B49" s="68">
        <v>9554</v>
      </c>
      <c r="C49" s="21" t="s">
        <v>179</v>
      </c>
      <c r="D49" s="67" t="s">
        <v>104</v>
      </c>
      <c r="E49" s="67" t="s">
        <v>180</v>
      </c>
      <c r="F49" s="21" t="s">
        <v>4</v>
      </c>
      <c r="G49" s="71">
        <v>1</v>
      </c>
      <c r="H49" s="21" t="s">
        <v>159</v>
      </c>
      <c r="I49" s="21" t="s">
        <v>106</v>
      </c>
      <c r="J49" s="20">
        <v>398780</v>
      </c>
      <c r="K49" s="73">
        <v>0</v>
      </c>
      <c r="L49" s="66" t="s">
        <v>181</v>
      </c>
      <c r="M49" s="21"/>
      <c r="N49" s="22"/>
      <c r="O49" s="22"/>
      <c r="P49" s="73">
        <v>3</v>
      </c>
      <c r="Q49" s="73">
        <v>2</v>
      </c>
      <c r="R49" s="73">
        <v>2</v>
      </c>
      <c r="S49" s="20">
        <f>P49+Q49+R49</f>
        <v>7</v>
      </c>
      <c r="T49" s="84"/>
      <c r="U49" s="21"/>
      <c r="V49" s="31"/>
    </row>
    <row r="50" spans="1:22" ht="15.75">
      <c r="A50" s="18">
        <v>50</v>
      </c>
      <c r="B50" s="68">
        <v>9551</v>
      </c>
      <c r="C50" s="21" t="s">
        <v>129</v>
      </c>
      <c r="D50" s="67" t="s">
        <v>106</v>
      </c>
      <c r="E50" s="21"/>
      <c r="F50" s="21" t="s">
        <v>4</v>
      </c>
      <c r="G50" s="71" t="s">
        <v>112</v>
      </c>
      <c r="H50" s="21" t="s">
        <v>159</v>
      </c>
      <c r="I50" s="21" t="s">
        <v>106</v>
      </c>
      <c r="J50" s="20">
        <v>397308</v>
      </c>
      <c r="K50" s="73" t="s">
        <v>112</v>
      </c>
      <c r="L50" s="66" t="s">
        <v>182</v>
      </c>
      <c r="M50" s="21"/>
      <c r="N50" s="22"/>
      <c r="O50" s="22"/>
      <c r="P50" s="73" t="s">
        <v>112</v>
      </c>
      <c r="Q50" s="73" t="s">
        <v>112</v>
      </c>
      <c r="R50" s="73" t="s">
        <v>112</v>
      </c>
      <c r="S50" s="20" t="e">
        <f>P50+Q50+R50</f>
        <v>#VALUE!</v>
      </c>
      <c r="T50" s="84"/>
      <c r="U50" s="21"/>
      <c r="V50" s="31"/>
    </row>
    <row r="51" spans="1:22" ht="15.75">
      <c r="A51" s="18">
        <v>51</v>
      </c>
      <c r="B51" s="68">
        <v>46359</v>
      </c>
      <c r="C51" s="21" t="s">
        <v>129</v>
      </c>
      <c r="D51" s="67" t="s">
        <v>106</v>
      </c>
      <c r="E51" s="21"/>
      <c r="F51" s="21" t="s">
        <v>4</v>
      </c>
      <c r="G51" s="71" t="s">
        <v>112</v>
      </c>
      <c r="H51" s="21" t="s">
        <v>159</v>
      </c>
      <c r="I51" s="21" t="s">
        <v>106</v>
      </c>
      <c r="J51" s="20">
        <v>422745</v>
      </c>
      <c r="K51" s="73" t="s">
        <v>112</v>
      </c>
      <c r="L51" s="66" t="s">
        <v>183</v>
      </c>
      <c r="M51" s="21"/>
      <c r="N51" s="22"/>
      <c r="O51" s="22"/>
      <c r="P51" s="73" t="s">
        <v>112</v>
      </c>
      <c r="Q51" s="73" t="s">
        <v>112</v>
      </c>
      <c r="R51" s="73" t="s">
        <v>112</v>
      </c>
      <c r="S51" s="20" t="e">
        <f>P51+Q51+R51</f>
        <v>#VALUE!</v>
      </c>
      <c r="T51" s="84"/>
      <c r="U51" s="21"/>
      <c r="V51" s="31"/>
    </row>
    <row r="52" spans="1:22" ht="15.75">
      <c r="A52" s="18">
        <v>52</v>
      </c>
      <c r="B52" s="68">
        <v>46143</v>
      </c>
      <c r="C52" s="21" t="s">
        <v>129</v>
      </c>
      <c r="D52" s="67" t="s">
        <v>106</v>
      </c>
      <c r="E52" s="21"/>
      <c r="F52" s="21" t="s">
        <v>4</v>
      </c>
      <c r="G52" s="71">
        <v>1</v>
      </c>
      <c r="H52" s="21" t="s">
        <v>159</v>
      </c>
      <c r="I52" s="21" t="s">
        <v>106</v>
      </c>
      <c r="J52" s="20">
        <v>385296</v>
      </c>
      <c r="K52" s="73">
        <v>0</v>
      </c>
      <c r="L52" s="66" t="s">
        <v>184</v>
      </c>
      <c r="M52" s="21"/>
      <c r="N52" s="22"/>
      <c r="O52" s="22"/>
      <c r="P52" s="73">
        <v>3</v>
      </c>
      <c r="Q52" s="73">
        <v>2</v>
      </c>
      <c r="R52" s="73">
        <v>2</v>
      </c>
      <c r="S52" s="20">
        <f>P52+Q52+R52</f>
        <v>7</v>
      </c>
      <c r="T52" s="84"/>
      <c r="U52" s="21"/>
      <c r="V52" s="31"/>
    </row>
    <row r="53" spans="1:22" ht="15.75">
      <c r="A53" s="18">
        <v>53</v>
      </c>
      <c r="B53" s="68">
        <v>9511</v>
      </c>
      <c r="C53" s="21" t="s">
        <v>129</v>
      </c>
      <c r="D53" s="67" t="s">
        <v>106</v>
      </c>
      <c r="E53" s="21"/>
      <c r="F53" s="21" t="s">
        <v>4</v>
      </c>
      <c r="G53" s="71">
        <v>1</v>
      </c>
      <c r="H53" s="21" t="s">
        <v>105</v>
      </c>
      <c r="I53" s="21" t="s">
        <v>106</v>
      </c>
      <c r="J53" s="20">
        <v>387519</v>
      </c>
      <c r="K53" s="73">
        <v>17</v>
      </c>
      <c r="L53" s="66" t="s">
        <v>185</v>
      </c>
      <c r="M53" s="21"/>
      <c r="N53" s="22"/>
      <c r="O53" s="22"/>
      <c r="P53" s="73">
        <v>1</v>
      </c>
      <c r="Q53" s="73">
        <v>1</v>
      </c>
      <c r="R53" s="73">
        <v>1</v>
      </c>
      <c r="S53" s="20">
        <f>P53+Q53+R53</f>
        <v>3</v>
      </c>
      <c r="T53" s="84"/>
      <c r="U53" s="21"/>
      <c r="V53" s="31"/>
    </row>
    <row r="54" spans="1:22" ht="15.75">
      <c r="A54" s="18">
        <v>54</v>
      </c>
      <c r="B54" s="68">
        <v>46297</v>
      </c>
      <c r="C54" s="21" t="s">
        <v>129</v>
      </c>
      <c r="D54" s="67" t="s">
        <v>106</v>
      </c>
      <c r="E54" s="21"/>
      <c r="F54" s="21" t="s">
        <v>4</v>
      </c>
      <c r="G54" s="71" t="s">
        <v>112</v>
      </c>
      <c r="H54" s="21" t="s">
        <v>105</v>
      </c>
      <c r="I54" s="21" t="s">
        <v>106</v>
      </c>
      <c r="J54" s="20">
        <v>394897</v>
      </c>
      <c r="K54" s="73" t="s">
        <v>112</v>
      </c>
      <c r="L54" s="66" t="s">
        <v>186</v>
      </c>
      <c r="M54" s="21"/>
      <c r="N54" s="22"/>
      <c r="O54" s="22"/>
      <c r="P54" s="73" t="s">
        <v>112</v>
      </c>
      <c r="Q54" s="73" t="s">
        <v>112</v>
      </c>
      <c r="R54" s="73" t="s">
        <v>112</v>
      </c>
      <c r="S54" s="20" t="e">
        <f>P54+Q54+R54</f>
        <v>#VALUE!</v>
      </c>
      <c r="T54" s="84"/>
      <c r="U54" s="21"/>
      <c r="V54" s="31"/>
    </row>
    <row r="55" spans="1:22" ht="15.75">
      <c r="A55" s="18">
        <v>55</v>
      </c>
      <c r="B55" s="68">
        <v>46114</v>
      </c>
      <c r="C55" s="21" t="s">
        <v>103</v>
      </c>
      <c r="D55" s="67" t="s">
        <v>104</v>
      </c>
      <c r="E55" s="21"/>
      <c r="F55" s="21" t="s">
        <v>4</v>
      </c>
      <c r="G55" s="71">
        <v>2</v>
      </c>
      <c r="H55" s="21" t="s">
        <v>105</v>
      </c>
      <c r="I55" s="21" t="s">
        <v>106</v>
      </c>
      <c r="J55" s="20">
        <v>393032</v>
      </c>
      <c r="K55" s="73">
        <v>2</v>
      </c>
      <c r="L55" s="66" t="s">
        <v>187</v>
      </c>
      <c r="M55" s="21"/>
      <c r="N55" s="22"/>
      <c r="O55" s="22"/>
      <c r="P55" s="73">
        <v>3</v>
      </c>
      <c r="Q55" s="73">
        <v>3</v>
      </c>
      <c r="R55" s="73">
        <v>3</v>
      </c>
      <c r="S55" s="20">
        <f>P55+Q55+R55</f>
        <v>9</v>
      </c>
      <c r="T55" s="84"/>
      <c r="U55" s="21"/>
      <c r="V55" s="31"/>
    </row>
    <row r="56" spans="1:22" ht="15.75">
      <c r="A56" s="18">
        <v>56</v>
      </c>
      <c r="B56" s="68">
        <v>46002</v>
      </c>
      <c r="C56" s="21" t="s">
        <v>103</v>
      </c>
      <c r="D56" s="67" t="s">
        <v>104</v>
      </c>
      <c r="E56" s="21"/>
      <c r="F56" s="21" t="s">
        <v>4</v>
      </c>
      <c r="G56" s="71">
        <v>1</v>
      </c>
      <c r="H56" s="21" t="s">
        <v>105</v>
      </c>
      <c r="I56" s="21" t="s">
        <v>106</v>
      </c>
      <c r="J56" s="20">
        <v>369258</v>
      </c>
      <c r="K56" s="73">
        <v>0</v>
      </c>
      <c r="L56" s="66" t="s">
        <v>188</v>
      </c>
      <c r="M56" s="21"/>
      <c r="N56" s="22"/>
      <c r="O56" s="22"/>
      <c r="P56" s="73">
        <v>3</v>
      </c>
      <c r="Q56" s="73">
        <v>2</v>
      </c>
      <c r="R56" s="73">
        <v>2</v>
      </c>
      <c r="S56" s="20">
        <f>P56+Q56+R56</f>
        <v>7</v>
      </c>
      <c r="T56" s="84"/>
      <c r="U56" s="21"/>
      <c r="V56" s="31"/>
    </row>
    <row r="57" spans="1:22" ht="15.75">
      <c r="A57" s="18">
        <v>57</v>
      </c>
      <c r="B57" s="68">
        <v>9525</v>
      </c>
      <c r="C57" s="21" t="s">
        <v>103</v>
      </c>
      <c r="D57" s="67" t="s">
        <v>104</v>
      </c>
      <c r="E57" s="21"/>
      <c r="F57" s="21" t="s">
        <v>4</v>
      </c>
      <c r="G57" s="71">
        <v>1</v>
      </c>
      <c r="H57" s="21" t="s">
        <v>105</v>
      </c>
      <c r="I57" s="21" t="s">
        <v>106</v>
      </c>
      <c r="J57" s="20">
        <v>391124</v>
      </c>
      <c r="K57" s="73">
        <v>20</v>
      </c>
      <c r="L57" s="66" t="s">
        <v>189</v>
      </c>
      <c r="M57" s="21"/>
      <c r="N57" s="22"/>
      <c r="O57" s="22"/>
      <c r="P57" s="73">
        <v>1</v>
      </c>
      <c r="Q57" s="73">
        <v>1</v>
      </c>
      <c r="R57" s="73">
        <v>1</v>
      </c>
      <c r="S57" s="20">
        <f>P57+Q57+R57</f>
        <v>3</v>
      </c>
      <c r="T57" s="84"/>
      <c r="U57" s="21"/>
      <c r="V57" s="31"/>
    </row>
    <row r="58" spans="1:22" ht="15.75">
      <c r="A58" s="18">
        <v>58</v>
      </c>
      <c r="B58" s="68">
        <v>9510</v>
      </c>
      <c r="C58" s="21" t="s">
        <v>118</v>
      </c>
      <c r="D58" s="67" t="s">
        <v>104</v>
      </c>
      <c r="E58" s="67" t="s">
        <v>190</v>
      </c>
      <c r="F58" s="21" t="s">
        <v>4</v>
      </c>
      <c r="G58" s="71">
        <v>1</v>
      </c>
      <c r="H58" s="21" t="s">
        <v>105</v>
      </c>
      <c r="I58" s="21" t="s">
        <v>106</v>
      </c>
      <c r="J58" s="20">
        <v>387018</v>
      </c>
      <c r="K58" s="73">
        <v>20</v>
      </c>
      <c r="L58" s="66" t="s">
        <v>191</v>
      </c>
      <c r="M58" s="21"/>
      <c r="N58" s="22"/>
      <c r="O58" s="22"/>
      <c r="P58" s="73">
        <v>1</v>
      </c>
      <c r="Q58" s="73">
        <v>1</v>
      </c>
      <c r="R58" s="73">
        <v>1</v>
      </c>
      <c r="S58" s="20">
        <f>P58+Q58+R58</f>
        <v>3</v>
      </c>
      <c r="T58" s="84"/>
      <c r="U58" s="21"/>
      <c r="V58" s="31"/>
    </row>
    <row r="59" spans="1:22" ht="15.75">
      <c r="A59" s="18">
        <v>59</v>
      </c>
      <c r="B59" s="68">
        <v>9541</v>
      </c>
      <c r="C59" s="21" t="s">
        <v>118</v>
      </c>
      <c r="D59" s="67" t="s">
        <v>104</v>
      </c>
      <c r="E59" s="21"/>
      <c r="F59" s="21" t="s">
        <v>4</v>
      </c>
      <c r="G59" s="71">
        <v>3</v>
      </c>
      <c r="H59" s="21" t="s">
        <v>105</v>
      </c>
      <c r="I59" s="21" t="s">
        <v>106</v>
      </c>
      <c r="J59" s="20">
        <v>395870</v>
      </c>
      <c r="K59" s="73">
        <v>4</v>
      </c>
      <c r="L59" s="66" t="s">
        <v>192</v>
      </c>
      <c r="M59" s="21"/>
      <c r="N59" s="22"/>
      <c r="O59" s="22"/>
      <c r="P59" s="73">
        <v>3</v>
      </c>
      <c r="Q59" s="73">
        <v>3</v>
      </c>
      <c r="R59" s="73">
        <v>3</v>
      </c>
      <c r="S59" s="20">
        <f>P59+Q59+R59</f>
        <v>9</v>
      </c>
      <c r="T59" s="84"/>
      <c r="U59" s="21"/>
      <c r="V59" s="31"/>
    </row>
    <row r="60" spans="1:22" ht="15.75">
      <c r="A60" s="18">
        <v>60</v>
      </c>
      <c r="B60" s="68">
        <v>9617</v>
      </c>
      <c r="C60" s="21" t="s">
        <v>103</v>
      </c>
      <c r="D60" s="67" t="s">
        <v>104</v>
      </c>
      <c r="E60" s="67" t="s">
        <v>193</v>
      </c>
      <c r="F60" s="21" t="s">
        <v>4</v>
      </c>
      <c r="G60" s="71">
        <v>3</v>
      </c>
      <c r="H60" s="21" t="s">
        <v>159</v>
      </c>
      <c r="I60" s="21" t="s">
        <v>106</v>
      </c>
      <c r="J60" s="20">
        <v>639777</v>
      </c>
      <c r="K60" s="73">
        <v>4</v>
      </c>
      <c r="L60" s="66" t="s">
        <v>194</v>
      </c>
      <c r="M60" s="21"/>
      <c r="N60" s="22"/>
      <c r="O60" s="22"/>
      <c r="P60" s="73">
        <v>3</v>
      </c>
      <c r="Q60" s="73">
        <v>3</v>
      </c>
      <c r="R60" s="73">
        <v>3</v>
      </c>
      <c r="S60" s="20">
        <f>P60+Q60+R60</f>
        <v>9</v>
      </c>
      <c r="T60" s="84"/>
      <c r="U60" s="21"/>
      <c r="V60" s="31"/>
    </row>
    <row r="61" spans="1:22" ht="15.75">
      <c r="A61" s="18">
        <v>61</v>
      </c>
      <c r="B61" s="68">
        <v>9511</v>
      </c>
      <c r="C61" s="21" t="s">
        <v>129</v>
      </c>
      <c r="D61" s="67" t="s">
        <v>106</v>
      </c>
      <c r="E61" s="21"/>
      <c r="F61" s="21" t="s">
        <v>4</v>
      </c>
      <c r="G61" s="71">
        <v>1</v>
      </c>
      <c r="H61" s="21" t="s">
        <v>105</v>
      </c>
      <c r="I61" s="21" t="s">
        <v>106</v>
      </c>
      <c r="J61" s="20">
        <v>387519</v>
      </c>
      <c r="K61" s="73">
        <v>17</v>
      </c>
      <c r="L61" s="66" t="s">
        <v>185</v>
      </c>
      <c r="M61" s="21"/>
      <c r="N61" s="22"/>
      <c r="O61" s="22"/>
      <c r="P61" s="73">
        <v>1</v>
      </c>
      <c r="Q61" s="73">
        <v>1</v>
      </c>
      <c r="R61" s="73">
        <v>1</v>
      </c>
      <c r="S61" s="20">
        <f>P61+Q61+R61</f>
        <v>3</v>
      </c>
      <c r="T61" s="84"/>
      <c r="U61" s="21"/>
      <c r="V61" s="31"/>
    </row>
    <row r="62" spans="1:22" ht="15.75">
      <c r="A62" s="18">
        <v>62</v>
      </c>
      <c r="B62" s="68">
        <v>46328</v>
      </c>
      <c r="C62" s="21" t="s">
        <v>103</v>
      </c>
      <c r="D62" s="67" t="s">
        <v>104</v>
      </c>
      <c r="E62" s="21"/>
      <c r="F62" s="21" t="s">
        <v>4</v>
      </c>
      <c r="G62" s="71" t="s">
        <v>112</v>
      </c>
      <c r="H62" s="21" t="s">
        <v>105</v>
      </c>
      <c r="I62" s="21" t="s">
        <v>106</v>
      </c>
      <c r="J62" s="20">
        <v>395197</v>
      </c>
      <c r="K62" s="73" t="s">
        <v>112</v>
      </c>
      <c r="L62" s="66" t="s">
        <v>195</v>
      </c>
      <c r="M62" s="21"/>
      <c r="N62" s="22"/>
      <c r="O62" s="22"/>
      <c r="P62" s="73" t="s">
        <v>112</v>
      </c>
      <c r="Q62" s="73" t="s">
        <v>112</v>
      </c>
      <c r="R62" s="73" t="s">
        <v>112</v>
      </c>
      <c r="S62" s="20" t="e">
        <f>P62+Q62+R62</f>
        <v>#VALUE!</v>
      </c>
      <c r="T62" s="84"/>
      <c r="U62" s="21"/>
      <c r="V62" s="31"/>
    </row>
    <row r="63" spans="1:22" ht="15.75">
      <c r="A63" s="18">
        <v>63</v>
      </c>
      <c r="B63" s="68">
        <v>46143</v>
      </c>
      <c r="C63" s="21" t="s">
        <v>121</v>
      </c>
      <c r="D63" s="67" t="s">
        <v>122</v>
      </c>
      <c r="E63" s="21"/>
      <c r="F63" s="21" t="s">
        <v>4</v>
      </c>
      <c r="G63" s="71">
        <v>1</v>
      </c>
      <c r="H63" s="21" t="s">
        <v>159</v>
      </c>
      <c r="I63" s="21" t="s">
        <v>106</v>
      </c>
      <c r="J63" s="20">
        <v>385296</v>
      </c>
      <c r="K63" s="73">
        <v>0</v>
      </c>
      <c r="L63" s="66" t="s">
        <v>184</v>
      </c>
      <c r="M63" s="21"/>
      <c r="N63" s="22"/>
      <c r="O63" s="22"/>
      <c r="P63" s="73">
        <v>3</v>
      </c>
      <c r="Q63" s="73">
        <v>2</v>
      </c>
      <c r="R63" s="73">
        <v>2</v>
      </c>
      <c r="S63" s="20">
        <f>P63+Q63+R63</f>
        <v>7</v>
      </c>
      <c r="T63" s="84"/>
      <c r="U63" s="21"/>
      <c r="V63" s="31"/>
    </row>
    <row r="64" spans="1:22" ht="15.75">
      <c r="A64" s="18">
        <v>64</v>
      </c>
      <c r="B64" s="68">
        <v>46114</v>
      </c>
      <c r="C64" s="21" t="s">
        <v>103</v>
      </c>
      <c r="D64" s="67" t="s">
        <v>104</v>
      </c>
      <c r="E64" s="21"/>
      <c r="F64" s="21" t="s">
        <v>4</v>
      </c>
      <c r="G64" s="71" t="s">
        <v>112</v>
      </c>
      <c r="H64" s="21" t="s">
        <v>105</v>
      </c>
      <c r="I64" s="21" t="s">
        <v>106</v>
      </c>
      <c r="J64" s="20">
        <v>393206</v>
      </c>
      <c r="K64" s="73" t="s">
        <v>112</v>
      </c>
      <c r="L64" s="66" t="s">
        <v>196</v>
      </c>
      <c r="M64" s="21"/>
      <c r="N64" s="22"/>
      <c r="O64" s="22"/>
      <c r="P64" s="73" t="s">
        <v>112</v>
      </c>
      <c r="Q64" s="73" t="s">
        <v>112</v>
      </c>
      <c r="R64" s="73" t="s">
        <v>112</v>
      </c>
      <c r="S64" s="20" t="e">
        <f>P64+Q64+R64</f>
        <v>#VALUE!</v>
      </c>
      <c r="T64" s="84"/>
      <c r="U64" s="21"/>
      <c r="V64" s="31"/>
    </row>
    <row r="65" spans="1:22" ht="15.75">
      <c r="A65" s="18">
        <v>65</v>
      </c>
      <c r="B65" s="68">
        <v>9510</v>
      </c>
      <c r="C65" s="21" t="s">
        <v>103</v>
      </c>
      <c r="D65" s="67" t="s">
        <v>104</v>
      </c>
      <c r="E65" s="21"/>
      <c r="F65" s="21" t="s">
        <v>4</v>
      </c>
      <c r="G65" s="71">
        <v>1</v>
      </c>
      <c r="H65" s="21" t="s">
        <v>105</v>
      </c>
      <c r="I65" s="21" t="s">
        <v>106</v>
      </c>
      <c r="J65" s="20">
        <v>387296</v>
      </c>
      <c r="K65" s="73">
        <v>22</v>
      </c>
      <c r="L65" s="66" t="s">
        <v>197</v>
      </c>
      <c r="M65" s="21"/>
      <c r="N65" s="22"/>
      <c r="O65" s="22"/>
      <c r="P65" s="73">
        <v>1</v>
      </c>
      <c r="Q65" s="73">
        <v>1</v>
      </c>
      <c r="R65" s="73">
        <v>1</v>
      </c>
      <c r="S65" s="20">
        <f>P65+Q65+R65</f>
        <v>3</v>
      </c>
      <c r="T65" s="84"/>
      <c r="U65" s="21"/>
      <c r="V65" s="31"/>
    </row>
    <row r="66" spans="1:22" ht="15.75">
      <c r="A66" s="18">
        <v>66</v>
      </c>
      <c r="B66" s="68">
        <v>46027.603032407409</v>
      </c>
      <c r="C66" s="21" t="s">
        <v>103</v>
      </c>
      <c r="D66" s="67" t="s">
        <v>104</v>
      </c>
      <c r="E66" s="21"/>
      <c r="F66" s="21" t="s">
        <v>4</v>
      </c>
      <c r="G66" s="71">
        <v>1</v>
      </c>
      <c r="H66" s="21" t="s">
        <v>105</v>
      </c>
      <c r="I66" s="21" t="s">
        <v>106</v>
      </c>
      <c r="J66" s="20">
        <v>385296</v>
      </c>
      <c r="K66" s="73">
        <v>0</v>
      </c>
      <c r="L66" s="66" t="s">
        <v>184</v>
      </c>
      <c r="M66" s="21"/>
      <c r="N66" s="22"/>
      <c r="O66" s="22"/>
      <c r="P66" s="73">
        <v>3</v>
      </c>
      <c r="Q66" s="73">
        <v>2</v>
      </c>
      <c r="R66" s="73">
        <v>2</v>
      </c>
      <c r="S66" s="20">
        <f>P66+Q66+R66</f>
        <v>7</v>
      </c>
      <c r="T66" s="84"/>
      <c r="U66" s="21"/>
      <c r="V66" s="31"/>
    </row>
    <row r="67" spans="1:22" ht="15.75">
      <c r="A67" s="18">
        <v>67</v>
      </c>
      <c r="B67" s="68">
        <v>46027.617002314815</v>
      </c>
      <c r="C67" s="21" t="s">
        <v>103</v>
      </c>
      <c r="D67" s="67" t="s">
        <v>104</v>
      </c>
      <c r="E67" s="21"/>
      <c r="F67" s="21" t="s">
        <v>4</v>
      </c>
      <c r="G67" s="71">
        <v>3</v>
      </c>
      <c r="H67" s="21" t="s">
        <v>105</v>
      </c>
      <c r="I67" s="21" t="s">
        <v>106</v>
      </c>
      <c r="J67" s="20">
        <v>385303</v>
      </c>
      <c r="K67" s="73">
        <v>10</v>
      </c>
      <c r="L67" s="66" t="s">
        <v>198</v>
      </c>
      <c r="M67" s="21"/>
      <c r="N67" s="22"/>
      <c r="O67" s="22"/>
      <c r="P67" s="73">
        <v>3</v>
      </c>
      <c r="Q67" s="73">
        <v>2</v>
      </c>
      <c r="R67" s="73">
        <v>2</v>
      </c>
      <c r="S67" s="20">
        <f>P67+Q67+R67</f>
        <v>7</v>
      </c>
      <c r="T67" s="84"/>
      <c r="U67" s="21"/>
      <c r="V67" s="31"/>
    </row>
    <row r="68" spans="1:22" ht="15.75">
      <c r="A68" s="18">
        <v>68</v>
      </c>
      <c r="B68" s="68">
        <v>46027.730636574073</v>
      </c>
      <c r="C68" s="21" t="s">
        <v>103</v>
      </c>
      <c r="D68" s="67" t="s">
        <v>104</v>
      </c>
      <c r="E68" s="21"/>
      <c r="F68" s="21" t="s">
        <v>4</v>
      </c>
      <c r="G68" s="71">
        <v>3</v>
      </c>
      <c r="H68" s="21" t="s">
        <v>105</v>
      </c>
      <c r="I68" s="21" t="s">
        <v>106</v>
      </c>
      <c r="J68" s="20">
        <v>385378</v>
      </c>
      <c r="K68" s="73">
        <v>10</v>
      </c>
      <c r="L68" s="66" t="s">
        <v>199</v>
      </c>
      <c r="M68" s="21"/>
      <c r="N68" s="22"/>
      <c r="O68" s="22"/>
      <c r="P68" s="73">
        <v>3</v>
      </c>
      <c r="Q68" s="73">
        <v>2</v>
      </c>
      <c r="R68" s="73">
        <v>2</v>
      </c>
      <c r="S68" s="20">
        <f>P68+Q68+R68</f>
        <v>7</v>
      </c>
      <c r="T68" s="84"/>
      <c r="U68" s="21"/>
      <c r="V68" s="31"/>
    </row>
    <row r="69" spans="1:22" ht="15.75">
      <c r="A69" s="18">
        <v>69</v>
      </c>
      <c r="B69" s="68">
        <v>46035.407824074071</v>
      </c>
      <c r="C69" s="21" t="s">
        <v>103</v>
      </c>
      <c r="D69" s="67" t="s">
        <v>104</v>
      </c>
      <c r="E69" s="21"/>
      <c r="F69" s="21" t="s">
        <v>4</v>
      </c>
      <c r="G69" s="71">
        <v>1</v>
      </c>
      <c r="H69" s="21" t="s">
        <v>105</v>
      </c>
      <c r="I69" s="21" t="s">
        <v>106</v>
      </c>
      <c r="J69" s="20">
        <v>387018</v>
      </c>
      <c r="K69" s="73">
        <v>20</v>
      </c>
      <c r="L69" s="66" t="s">
        <v>191</v>
      </c>
      <c r="M69" s="21"/>
      <c r="N69" s="22"/>
      <c r="O69" s="22"/>
      <c r="P69" s="73">
        <v>1</v>
      </c>
      <c r="Q69" s="73">
        <v>1</v>
      </c>
      <c r="R69" s="73">
        <v>1</v>
      </c>
      <c r="S69" s="20">
        <f>P69+Q69+R69</f>
        <v>3</v>
      </c>
      <c r="T69" s="84"/>
      <c r="U69" s="21"/>
      <c r="V69" s="31"/>
    </row>
    <row r="70" spans="1:22" ht="15.75">
      <c r="A70" s="18">
        <v>70</v>
      </c>
      <c r="B70" s="68">
        <v>46035.737638888888</v>
      </c>
      <c r="C70" s="21" t="s">
        <v>103</v>
      </c>
      <c r="D70" s="67" t="s">
        <v>104</v>
      </c>
      <c r="E70" s="21"/>
      <c r="F70" s="21" t="s">
        <v>4</v>
      </c>
      <c r="G70" s="71">
        <v>1</v>
      </c>
      <c r="H70" s="21" t="s">
        <v>105</v>
      </c>
      <c r="I70" s="21" t="s">
        <v>106</v>
      </c>
      <c r="J70" s="20">
        <v>387296</v>
      </c>
      <c r="K70" s="73">
        <v>22</v>
      </c>
      <c r="L70" s="66" t="s">
        <v>197</v>
      </c>
      <c r="M70" s="21"/>
      <c r="N70" s="22"/>
      <c r="O70" s="22"/>
      <c r="P70" s="73">
        <v>1</v>
      </c>
      <c r="Q70" s="73">
        <v>1</v>
      </c>
      <c r="R70" s="73">
        <v>1</v>
      </c>
      <c r="S70" s="20">
        <f>P70+Q70+R70</f>
        <v>3</v>
      </c>
      <c r="T70" s="84"/>
      <c r="U70" s="21"/>
      <c r="V70" s="31"/>
    </row>
    <row r="71" spans="1:22" ht="15.75">
      <c r="A71" s="18">
        <v>71</v>
      </c>
      <c r="B71" s="68">
        <v>46036.510185185187</v>
      </c>
      <c r="C71" s="21" t="s">
        <v>103</v>
      </c>
      <c r="D71" s="67" t="s">
        <v>104</v>
      </c>
      <c r="E71" s="21"/>
      <c r="F71" s="21" t="s">
        <v>4</v>
      </c>
      <c r="G71" s="71">
        <v>1</v>
      </c>
      <c r="H71" s="21" t="s">
        <v>105</v>
      </c>
      <c r="I71" s="21" t="s">
        <v>106</v>
      </c>
      <c r="J71" s="20">
        <v>387417</v>
      </c>
      <c r="K71" s="73">
        <v>21</v>
      </c>
      <c r="L71" s="66" t="s">
        <v>200</v>
      </c>
      <c r="M71" s="21"/>
      <c r="N71" s="22"/>
      <c r="O71" s="22"/>
      <c r="P71" s="73">
        <v>1</v>
      </c>
      <c r="Q71" s="73">
        <v>1</v>
      </c>
      <c r="R71" s="73">
        <v>1</v>
      </c>
      <c r="S71" s="20">
        <f>P71+Q71+R71</f>
        <v>3</v>
      </c>
      <c r="T71" s="84"/>
      <c r="U71" s="21"/>
      <c r="V71" s="31"/>
    </row>
    <row r="72" spans="1:22" ht="15.75">
      <c r="A72" s="18">
        <v>72</v>
      </c>
      <c r="B72" s="68">
        <v>46036.681689814817</v>
      </c>
      <c r="C72" s="21" t="s">
        <v>103</v>
      </c>
      <c r="D72" s="67" t="s">
        <v>104</v>
      </c>
      <c r="E72" s="21"/>
      <c r="F72" s="21" t="s">
        <v>4</v>
      </c>
      <c r="G72" s="71">
        <v>1</v>
      </c>
      <c r="H72" s="21" t="s">
        <v>105</v>
      </c>
      <c r="I72" s="21" t="s">
        <v>106</v>
      </c>
      <c r="J72" s="20">
        <v>387519</v>
      </c>
      <c r="K72" s="73">
        <v>17</v>
      </c>
      <c r="L72" s="66" t="s">
        <v>185</v>
      </c>
      <c r="M72" s="21"/>
      <c r="N72" s="22"/>
      <c r="O72" s="22"/>
      <c r="P72" s="73">
        <v>1</v>
      </c>
      <c r="Q72" s="73">
        <v>1</v>
      </c>
      <c r="R72" s="73">
        <v>1</v>
      </c>
      <c r="S72" s="20">
        <f>P72+Q72+R72</f>
        <v>3</v>
      </c>
      <c r="T72" s="84"/>
      <c r="U72" s="21"/>
      <c r="V72" s="31"/>
    </row>
    <row r="73" spans="1:22" ht="15.75">
      <c r="A73" s="18">
        <v>73</v>
      </c>
      <c r="B73" s="68">
        <v>46036.705474537041</v>
      </c>
      <c r="C73" s="21" t="s">
        <v>103</v>
      </c>
      <c r="D73" s="67" t="s">
        <v>104</v>
      </c>
      <c r="E73" s="21"/>
      <c r="F73" s="21" t="s">
        <v>4</v>
      </c>
      <c r="G73" s="71">
        <v>1</v>
      </c>
      <c r="H73" s="21" t="s">
        <v>105</v>
      </c>
      <c r="I73" s="21" t="s">
        <v>106</v>
      </c>
      <c r="J73" s="20">
        <v>387569</v>
      </c>
      <c r="K73" s="73">
        <v>21</v>
      </c>
      <c r="L73" s="66" t="s">
        <v>201</v>
      </c>
      <c r="M73" s="21"/>
      <c r="N73" s="22"/>
      <c r="O73" s="22"/>
      <c r="P73" s="73">
        <v>1</v>
      </c>
      <c r="Q73" s="73">
        <v>1</v>
      </c>
      <c r="R73" s="73">
        <v>1</v>
      </c>
      <c r="S73" s="20">
        <f>P73+Q73+R73</f>
        <v>3</v>
      </c>
      <c r="T73" s="84"/>
      <c r="U73" s="21"/>
      <c r="V73" s="31"/>
    </row>
    <row r="74" spans="1:22" ht="15.75">
      <c r="A74" s="18">
        <v>74</v>
      </c>
      <c r="B74" s="68">
        <v>46041.365416666667</v>
      </c>
      <c r="C74" s="21" t="s">
        <v>103</v>
      </c>
      <c r="D74" s="67" t="s">
        <v>104</v>
      </c>
      <c r="E74" s="21"/>
      <c r="F74" s="21" t="s">
        <v>4</v>
      </c>
      <c r="G74" s="71">
        <v>1</v>
      </c>
      <c r="H74" s="21" t="s">
        <v>105</v>
      </c>
      <c r="I74" s="21" t="s">
        <v>106</v>
      </c>
      <c r="J74" s="20">
        <v>388456</v>
      </c>
      <c r="K74" s="73">
        <v>13</v>
      </c>
      <c r="L74" s="66" t="s">
        <v>202</v>
      </c>
      <c r="M74" s="21"/>
      <c r="N74" s="22"/>
      <c r="O74" s="22"/>
      <c r="P74" s="73">
        <v>2</v>
      </c>
      <c r="Q74" s="73">
        <v>1</v>
      </c>
      <c r="R74" s="73">
        <v>2</v>
      </c>
      <c r="S74" s="20">
        <f>P74+Q74+R74</f>
        <v>5</v>
      </c>
      <c r="T74" s="84"/>
      <c r="U74" s="21"/>
      <c r="V74" s="31"/>
    </row>
    <row r="75" spans="1:22" ht="15.75">
      <c r="A75" s="18">
        <v>75</v>
      </c>
      <c r="B75" s="68">
        <v>46042.863530092596</v>
      </c>
      <c r="C75" s="21" t="s">
        <v>103</v>
      </c>
      <c r="D75" s="67" t="s">
        <v>104</v>
      </c>
      <c r="E75" s="21"/>
      <c r="F75" s="21" t="s">
        <v>4</v>
      </c>
      <c r="G75" s="71">
        <v>3</v>
      </c>
      <c r="H75" s="21" t="s">
        <v>105</v>
      </c>
      <c r="I75" s="21" t="s">
        <v>106</v>
      </c>
      <c r="J75" s="20">
        <v>389140</v>
      </c>
      <c r="K75" s="73">
        <v>5</v>
      </c>
      <c r="L75" s="66" t="s">
        <v>203</v>
      </c>
      <c r="M75" s="21"/>
      <c r="N75" s="22"/>
      <c r="O75" s="22"/>
      <c r="P75" s="73">
        <v>3</v>
      </c>
      <c r="Q75" s="73">
        <v>3</v>
      </c>
      <c r="R75" s="73">
        <v>3</v>
      </c>
      <c r="S75" s="20">
        <f>P75+Q75+R75</f>
        <v>9</v>
      </c>
      <c r="T75" s="84"/>
      <c r="U75" s="21"/>
      <c r="V75" s="31"/>
    </row>
    <row r="76" spans="1:22" ht="15.75">
      <c r="A76" s="18">
        <v>76</v>
      </c>
      <c r="B76" s="68">
        <v>46050.72315972222</v>
      </c>
      <c r="C76" s="21" t="s">
        <v>103</v>
      </c>
      <c r="D76" s="67" t="s">
        <v>104</v>
      </c>
      <c r="E76" s="21"/>
      <c r="F76" s="21" t="s">
        <v>4</v>
      </c>
      <c r="G76" s="71">
        <v>1</v>
      </c>
      <c r="H76" s="21" t="s">
        <v>105</v>
      </c>
      <c r="I76" s="21" t="s">
        <v>106</v>
      </c>
      <c r="J76" s="20">
        <v>391124</v>
      </c>
      <c r="K76" s="73">
        <v>20</v>
      </c>
      <c r="L76" s="66" t="s">
        <v>189</v>
      </c>
      <c r="M76" s="21"/>
      <c r="N76" s="22"/>
      <c r="O76" s="22"/>
      <c r="P76" s="73">
        <v>1</v>
      </c>
      <c r="Q76" s="73">
        <v>1</v>
      </c>
      <c r="R76" s="73">
        <v>1</v>
      </c>
      <c r="S76" s="20">
        <f>P76+Q76+R76</f>
        <v>3</v>
      </c>
      <c r="T76" s="84"/>
      <c r="U76" s="21"/>
      <c r="V76" s="31"/>
    </row>
    <row r="77" spans="1:22" ht="15.75">
      <c r="A77" s="18">
        <v>77</v>
      </c>
      <c r="B77" s="68">
        <v>46057.574479166666</v>
      </c>
      <c r="C77" s="21" t="s">
        <v>103</v>
      </c>
      <c r="D77" s="67" t="s">
        <v>104</v>
      </c>
      <c r="E77" s="21"/>
      <c r="F77" s="21" t="s">
        <v>4</v>
      </c>
      <c r="G77" s="71">
        <v>2</v>
      </c>
      <c r="H77" s="21" t="s">
        <v>105</v>
      </c>
      <c r="I77" s="21" t="s">
        <v>106</v>
      </c>
      <c r="J77" s="20">
        <v>393032</v>
      </c>
      <c r="K77" s="73">
        <v>2</v>
      </c>
      <c r="L77" s="66" t="s">
        <v>187</v>
      </c>
      <c r="M77" s="21"/>
      <c r="N77" s="22"/>
      <c r="O77" s="22"/>
      <c r="P77" s="73">
        <v>3</v>
      </c>
      <c r="Q77" s="73">
        <v>3</v>
      </c>
      <c r="R77" s="73">
        <v>3</v>
      </c>
      <c r="S77" s="20">
        <f>P77+Q77+R77</f>
        <v>9</v>
      </c>
      <c r="T77" s="84"/>
      <c r="U77" s="21"/>
      <c r="V77" s="31"/>
    </row>
    <row r="78" spans="1:22" ht="15.75">
      <c r="A78" s="18">
        <v>78</v>
      </c>
      <c r="B78" s="68">
        <v>46063.590081018519</v>
      </c>
      <c r="C78" s="21" t="s">
        <v>103</v>
      </c>
      <c r="D78" s="67" t="s">
        <v>104</v>
      </c>
      <c r="E78" s="21"/>
      <c r="F78" s="21" t="s">
        <v>4</v>
      </c>
      <c r="G78" s="71" t="s">
        <v>112</v>
      </c>
      <c r="H78" s="21" t="s">
        <v>105</v>
      </c>
      <c r="I78" s="21" t="s">
        <v>106</v>
      </c>
      <c r="J78" s="20">
        <v>394897</v>
      </c>
      <c r="K78" s="73" t="s">
        <v>112</v>
      </c>
      <c r="L78" s="66" t="s">
        <v>186</v>
      </c>
      <c r="M78" s="21"/>
      <c r="N78" s="22"/>
      <c r="O78" s="22"/>
      <c r="P78" s="73" t="s">
        <v>112</v>
      </c>
      <c r="Q78" s="73" t="s">
        <v>112</v>
      </c>
      <c r="R78" s="73" t="s">
        <v>112</v>
      </c>
      <c r="S78" s="20" t="e">
        <f>P78+Q78+R78</f>
        <v>#VALUE!</v>
      </c>
      <c r="T78" s="84"/>
      <c r="U78" s="21"/>
      <c r="V78" s="31"/>
    </row>
    <row r="79" spans="1:22" ht="15.75">
      <c r="A79" s="18">
        <v>79</v>
      </c>
      <c r="B79" s="68">
        <v>46064.43</v>
      </c>
      <c r="C79" s="21" t="s">
        <v>103</v>
      </c>
      <c r="D79" s="67" t="s">
        <v>104</v>
      </c>
      <c r="E79" s="21"/>
      <c r="F79" s="21" t="s">
        <v>4</v>
      </c>
      <c r="G79" s="71" t="s">
        <v>112</v>
      </c>
      <c r="H79" s="21" t="s">
        <v>105</v>
      </c>
      <c r="I79" s="21" t="s">
        <v>106</v>
      </c>
      <c r="J79" s="20">
        <v>395197</v>
      </c>
      <c r="K79" s="73" t="s">
        <v>112</v>
      </c>
      <c r="L79" s="66" t="s">
        <v>195</v>
      </c>
      <c r="M79" s="21"/>
      <c r="N79" s="22"/>
      <c r="O79" s="22"/>
      <c r="P79" s="73" t="s">
        <v>112</v>
      </c>
      <c r="Q79" s="73" t="s">
        <v>112</v>
      </c>
      <c r="R79" s="73" t="s">
        <v>112</v>
      </c>
      <c r="S79" s="20" t="e">
        <f>P79+Q79+R79</f>
        <v>#VALUE!</v>
      </c>
      <c r="T79" s="84"/>
      <c r="U79" s="21"/>
      <c r="V79" s="31"/>
    </row>
    <row r="80" spans="1:22" ht="15.75">
      <c r="A80" s="18">
        <v>80</v>
      </c>
      <c r="B80" s="68">
        <v>46064.431898148148</v>
      </c>
      <c r="C80" s="21" t="s">
        <v>103</v>
      </c>
      <c r="D80" s="67" t="s">
        <v>104</v>
      </c>
      <c r="E80" s="21"/>
      <c r="F80" s="21" t="s">
        <v>4</v>
      </c>
      <c r="G80" s="71" t="s">
        <v>112</v>
      </c>
      <c r="H80" s="21" t="s">
        <v>105</v>
      </c>
      <c r="I80" s="21" t="s">
        <v>106</v>
      </c>
      <c r="J80" s="20">
        <v>395200</v>
      </c>
      <c r="K80" s="73" t="s">
        <v>112</v>
      </c>
      <c r="L80" s="66" t="s">
        <v>204</v>
      </c>
      <c r="M80" s="21"/>
      <c r="N80" s="22"/>
      <c r="O80" s="22"/>
      <c r="P80" s="73" t="s">
        <v>112</v>
      </c>
      <c r="Q80" s="73" t="s">
        <v>112</v>
      </c>
      <c r="R80" s="73" t="s">
        <v>112</v>
      </c>
      <c r="S80" s="20" t="e">
        <f>P80+Q80+R80</f>
        <v>#VALUE!</v>
      </c>
      <c r="T80" s="84"/>
      <c r="U80" s="21"/>
      <c r="V80" s="31"/>
    </row>
    <row r="81" spans="1:22" ht="15.75">
      <c r="A81" s="18">
        <v>81</v>
      </c>
      <c r="B81" s="68">
        <v>46066.658321759256</v>
      </c>
      <c r="C81" s="21" t="s">
        <v>103</v>
      </c>
      <c r="D81" s="67" t="s">
        <v>104</v>
      </c>
      <c r="E81" s="21"/>
      <c r="F81" s="21" t="s">
        <v>4</v>
      </c>
      <c r="G81" s="71">
        <v>3</v>
      </c>
      <c r="H81" s="21" t="s">
        <v>105</v>
      </c>
      <c r="I81" s="21" t="s">
        <v>106</v>
      </c>
      <c r="J81" s="20">
        <v>395870</v>
      </c>
      <c r="K81" s="73">
        <v>4</v>
      </c>
      <c r="L81" s="66" t="s">
        <v>192</v>
      </c>
      <c r="M81" s="21"/>
      <c r="N81" s="22"/>
      <c r="O81" s="22"/>
      <c r="P81" s="73">
        <v>3</v>
      </c>
      <c r="Q81" s="73">
        <v>3</v>
      </c>
      <c r="R81" s="73">
        <v>3</v>
      </c>
      <c r="S81" s="20">
        <f>P81+Q81+R81</f>
        <v>9</v>
      </c>
      <c r="T81" s="84"/>
      <c r="U81" s="21"/>
      <c r="V81" s="31"/>
    </row>
    <row r="82" spans="1:22" ht="15.75">
      <c r="A82" s="18">
        <v>82</v>
      </c>
      <c r="B82" s="68">
        <v>46076.602592592593</v>
      </c>
      <c r="C82" s="21" t="s">
        <v>103</v>
      </c>
      <c r="D82" s="67" t="s">
        <v>104</v>
      </c>
      <c r="E82" s="21"/>
      <c r="F82" s="21" t="s">
        <v>4</v>
      </c>
      <c r="G82" s="71" t="s">
        <v>112</v>
      </c>
      <c r="H82" s="21" t="s">
        <v>105</v>
      </c>
      <c r="I82" s="21" t="s">
        <v>106</v>
      </c>
      <c r="J82" s="20">
        <v>397308</v>
      </c>
      <c r="K82" s="73" t="s">
        <v>112</v>
      </c>
      <c r="L82" s="66" t="s">
        <v>182</v>
      </c>
      <c r="M82" s="21"/>
      <c r="N82" s="22"/>
      <c r="O82" s="22"/>
      <c r="P82" s="73" t="s">
        <v>112</v>
      </c>
      <c r="Q82" s="73" t="s">
        <v>112</v>
      </c>
      <c r="R82" s="73" t="s">
        <v>112</v>
      </c>
      <c r="S82" s="20" t="e">
        <f>P82+Q82+R82</f>
        <v>#VALUE!</v>
      </c>
      <c r="T82" s="84"/>
      <c r="U82" s="21"/>
      <c r="V82" s="31"/>
    </row>
    <row r="83" spans="1:22" ht="15.75">
      <c r="A83" s="18">
        <v>83</v>
      </c>
      <c r="B83" s="68">
        <v>46076.721770833334</v>
      </c>
      <c r="C83" s="21" t="s">
        <v>103</v>
      </c>
      <c r="D83" s="67" t="s">
        <v>104</v>
      </c>
      <c r="E83" s="21"/>
      <c r="F83" s="21" t="s">
        <v>4</v>
      </c>
      <c r="G83" s="71" t="s">
        <v>112</v>
      </c>
      <c r="H83" s="21" t="s">
        <v>105</v>
      </c>
      <c r="I83" s="21" t="s">
        <v>106</v>
      </c>
      <c r="J83" s="20">
        <v>397404</v>
      </c>
      <c r="K83" s="73" t="s">
        <v>112</v>
      </c>
      <c r="L83" s="66" t="s">
        <v>173</v>
      </c>
      <c r="M83" s="21"/>
      <c r="N83" s="22"/>
      <c r="O83" s="22"/>
      <c r="P83" s="73" t="s">
        <v>112</v>
      </c>
      <c r="Q83" s="73" t="s">
        <v>112</v>
      </c>
      <c r="R83" s="73" t="s">
        <v>112</v>
      </c>
      <c r="S83" s="20" t="e">
        <f>P83+Q83+R83</f>
        <v>#VALUE!</v>
      </c>
      <c r="T83" s="84"/>
      <c r="U83" s="21"/>
      <c r="V83" s="31"/>
    </row>
    <row r="84" spans="1:22" ht="15.75">
      <c r="A84" s="18">
        <v>84</v>
      </c>
      <c r="B84" s="68">
        <v>46077.403738425928</v>
      </c>
      <c r="C84" s="21" t="s">
        <v>103</v>
      </c>
      <c r="D84" s="67" t="s">
        <v>104</v>
      </c>
      <c r="E84" s="21"/>
      <c r="F84" s="21" t="s">
        <v>4</v>
      </c>
      <c r="G84" s="71">
        <v>1</v>
      </c>
      <c r="H84" s="21" t="s">
        <v>105</v>
      </c>
      <c r="I84" s="21" t="s">
        <v>106</v>
      </c>
      <c r="J84" s="20">
        <v>397510</v>
      </c>
      <c r="K84" s="73">
        <v>0</v>
      </c>
      <c r="L84" s="66" t="s">
        <v>205</v>
      </c>
      <c r="M84" s="21"/>
      <c r="N84" s="22"/>
      <c r="O84" s="22"/>
      <c r="P84" s="73">
        <v>3</v>
      </c>
      <c r="Q84" s="73">
        <v>2</v>
      </c>
      <c r="R84" s="73">
        <v>2</v>
      </c>
      <c r="S84" s="20">
        <f>P84+Q84+R84</f>
        <v>7</v>
      </c>
      <c r="T84" s="84"/>
      <c r="U84" s="21"/>
      <c r="V84" s="31"/>
    </row>
    <row r="85" spans="1:22" ht="15.75">
      <c r="A85" s="18">
        <v>85</v>
      </c>
      <c r="B85" s="68">
        <v>46079.673634259256</v>
      </c>
      <c r="C85" s="21" t="s">
        <v>103</v>
      </c>
      <c r="D85" s="67" t="s">
        <v>104</v>
      </c>
      <c r="E85" s="21"/>
      <c r="F85" s="21" t="s">
        <v>4</v>
      </c>
      <c r="G85" s="71">
        <v>1</v>
      </c>
      <c r="H85" s="21" t="s">
        <v>105</v>
      </c>
      <c r="I85" s="21" t="s">
        <v>106</v>
      </c>
      <c r="J85" s="20">
        <v>398780</v>
      </c>
      <c r="K85" s="73">
        <v>0</v>
      </c>
      <c r="L85" s="66" t="s">
        <v>181</v>
      </c>
      <c r="M85" s="21"/>
      <c r="N85" s="22"/>
      <c r="O85" s="22"/>
      <c r="P85" s="73">
        <v>3</v>
      </c>
      <c r="Q85" s="73">
        <v>2</v>
      </c>
      <c r="R85" s="73">
        <v>2</v>
      </c>
      <c r="S85" s="20">
        <f>P85+Q85+R85</f>
        <v>7</v>
      </c>
      <c r="T85" s="84"/>
      <c r="U85" s="21"/>
      <c r="V85" s="31"/>
    </row>
    <row r="86" spans="1:22" ht="15.75">
      <c r="A86" s="18">
        <v>86</v>
      </c>
      <c r="B86" s="68">
        <v>46085.675173611111</v>
      </c>
      <c r="C86" s="21" t="s">
        <v>103</v>
      </c>
      <c r="D86" s="67" t="s">
        <v>104</v>
      </c>
      <c r="E86" s="21"/>
      <c r="F86" s="21" t="s">
        <v>4</v>
      </c>
      <c r="G86" s="71" t="s">
        <v>112</v>
      </c>
      <c r="H86" s="21" t="s">
        <v>105</v>
      </c>
      <c r="I86" s="21" t="s">
        <v>106</v>
      </c>
      <c r="J86" s="20">
        <v>409101</v>
      </c>
      <c r="K86" s="73" t="s">
        <v>112</v>
      </c>
      <c r="L86" s="66" t="s">
        <v>167</v>
      </c>
      <c r="M86" s="21"/>
      <c r="N86" s="22"/>
      <c r="O86" s="22"/>
      <c r="P86" s="73" t="s">
        <v>112</v>
      </c>
      <c r="Q86" s="73" t="s">
        <v>112</v>
      </c>
      <c r="R86" s="73" t="s">
        <v>112</v>
      </c>
      <c r="S86" s="20" t="e">
        <f>P86+Q86+R86</f>
        <v>#VALUE!</v>
      </c>
      <c r="T86" s="84"/>
      <c r="U86" s="21"/>
      <c r="V86" s="31"/>
    </row>
    <row r="87" spans="1:22" ht="15.75">
      <c r="A87" s="18">
        <v>87</v>
      </c>
      <c r="B87" s="68">
        <v>46092.770046296297</v>
      </c>
      <c r="C87" s="21" t="s">
        <v>103</v>
      </c>
      <c r="D87" s="67" t="s">
        <v>104</v>
      </c>
      <c r="E87" s="21"/>
      <c r="F87" s="21" t="s">
        <v>4</v>
      </c>
      <c r="G87" s="71">
        <v>1</v>
      </c>
      <c r="H87" s="21" t="s">
        <v>105</v>
      </c>
      <c r="I87" s="21" t="s">
        <v>106</v>
      </c>
      <c r="J87" s="20">
        <v>419044</v>
      </c>
      <c r="K87" s="73">
        <v>20</v>
      </c>
      <c r="L87" s="66" t="s">
        <v>162</v>
      </c>
      <c r="M87" s="21"/>
      <c r="N87" s="22"/>
      <c r="O87" s="22"/>
      <c r="P87" s="73">
        <v>1</v>
      </c>
      <c r="Q87" s="73">
        <v>1</v>
      </c>
      <c r="R87" s="73">
        <v>1</v>
      </c>
      <c r="S87" s="20">
        <f>P87+Q87+R87</f>
        <v>3</v>
      </c>
      <c r="T87" s="84"/>
      <c r="U87" s="21"/>
      <c r="V87" s="31"/>
    </row>
    <row r="88" spans="1:22" ht="15.75">
      <c r="A88" s="18">
        <v>88</v>
      </c>
      <c r="B88" s="68">
        <v>46093.577615740738</v>
      </c>
      <c r="C88" s="21" t="s">
        <v>103</v>
      </c>
      <c r="D88" s="67" t="s">
        <v>104</v>
      </c>
      <c r="E88" s="21"/>
      <c r="F88" s="21" t="s">
        <v>4</v>
      </c>
      <c r="G88" s="71" t="s">
        <v>112</v>
      </c>
      <c r="H88" s="21" t="s">
        <v>105</v>
      </c>
      <c r="I88" s="21" t="s">
        <v>106</v>
      </c>
      <c r="J88" s="20">
        <v>422745</v>
      </c>
      <c r="K88" s="73" t="s">
        <v>112</v>
      </c>
      <c r="L88" s="66" t="s">
        <v>183</v>
      </c>
      <c r="M88" s="21"/>
      <c r="N88" s="22"/>
      <c r="O88" s="22"/>
      <c r="P88" s="73" t="s">
        <v>112</v>
      </c>
      <c r="Q88" s="73" t="s">
        <v>112</v>
      </c>
      <c r="R88" s="73" t="s">
        <v>112</v>
      </c>
      <c r="S88" s="20" t="e">
        <f>P88+Q88+R88</f>
        <v>#VALUE!</v>
      </c>
      <c r="T88" s="84"/>
      <c r="U88" s="21"/>
      <c r="V88" s="31"/>
    </row>
    <row r="89" spans="1:22" ht="15.75">
      <c r="A89" s="18">
        <v>89</v>
      </c>
      <c r="B89" s="68">
        <v>46093.7971412037</v>
      </c>
      <c r="C89" s="21" t="s">
        <v>103</v>
      </c>
      <c r="D89" s="67" t="s">
        <v>104</v>
      </c>
      <c r="E89" s="21"/>
      <c r="F89" s="21" t="s">
        <v>4</v>
      </c>
      <c r="G89" s="71">
        <v>1</v>
      </c>
      <c r="H89" s="21" t="s">
        <v>105</v>
      </c>
      <c r="I89" s="21" t="s">
        <v>106</v>
      </c>
      <c r="J89" s="20">
        <v>428396</v>
      </c>
      <c r="K89" s="73">
        <v>19</v>
      </c>
      <c r="L89" s="66" t="s">
        <v>172</v>
      </c>
      <c r="M89" s="21"/>
      <c r="N89" s="22"/>
      <c r="O89" s="22"/>
      <c r="P89" s="73">
        <v>1</v>
      </c>
      <c r="Q89" s="73">
        <v>1</v>
      </c>
      <c r="R89" s="73">
        <v>1</v>
      </c>
      <c r="S89" s="20">
        <f>P89+Q89+R89</f>
        <v>3</v>
      </c>
      <c r="T89" s="84"/>
      <c r="U89" s="21"/>
      <c r="V89" s="31"/>
    </row>
    <row r="90" spans="1:22" ht="15.75">
      <c r="A90" s="18">
        <v>90</v>
      </c>
      <c r="B90" s="68">
        <v>46094.4375</v>
      </c>
      <c r="C90" s="21" t="s">
        <v>103</v>
      </c>
      <c r="D90" s="67" t="s">
        <v>104</v>
      </c>
      <c r="E90" s="21"/>
      <c r="F90" s="21" t="s">
        <v>4</v>
      </c>
      <c r="G90" s="71">
        <v>3</v>
      </c>
      <c r="H90" s="21" t="s">
        <v>105</v>
      </c>
      <c r="I90" s="21" t="s">
        <v>106</v>
      </c>
      <c r="J90" s="20">
        <v>434664</v>
      </c>
      <c r="K90" s="73">
        <v>10</v>
      </c>
      <c r="L90" s="66" t="s">
        <v>178</v>
      </c>
      <c r="M90" s="21"/>
      <c r="N90" s="22"/>
      <c r="O90" s="22"/>
      <c r="P90" s="73">
        <v>3</v>
      </c>
      <c r="Q90" s="73">
        <v>2</v>
      </c>
      <c r="R90" s="73">
        <v>2</v>
      </c>
      <c r="S90" s="20">
        <f>P90+Q90+R90</f>
        <v>7</v>
      </c>
      <c r="T90" s="84"/>
      <c r="U90" s="21"/>
      <c r="V90" s="31"/>
    </row>
    <row r="91" spans="1:22" ht="15.75">
      <c r="A91" s="18">
        <v>91</v>
      </c>
      <c r="B91" s="68">
        <v>46099.615949074076</v>
      </c>
      <c r="C91" s="21" t="s">
        <v>103</v>
      </c>
      <c r="D91" s="67" t="s">
        <v>104</v>
      </c>
      <c r="E91" s="21"/>
      <c r="F91" s="21" t="s">
        <v>4</v>
      </c>
      <c r="G91" s="71">
        <v>3</v>
      </c>
      <c r="H91" s="21" t="s">
        <v>105</v>
      </c>
      <c r="I91" s="21" t="s">
        <v>106</v>
      </c>
      <c r="J91" s="20">
        <v>457607</v>
      </c>
      <c r="K91" s="73">
        <v>10</v>
      </c>
      <c r="L91" s="66" t="s">
        <v>171</v>
      </c>
      <c r="M91" s="21"/>
      <c r="N91" s="22"/>
      <c r="O91" s="22"/>
      <c r="P91" s="73">
        <v>3</v>
      </c>
      <c r="Q91" s="73">
        <v>2</v>
      </c>
      <c r="R91" s="73">
        <v>2</v>
      </c>
      <c r="S91" s="20">
        <f>P91+Q91+R91</f>
        <v>7</v>
      </c>
      <c r="T91" s="84"/>
      <c r="U91" s="21"/>
      <c r="V91" s="31"/>
    </row>
    <row r="92" spans="1:22" ht="15.75">
      <c r="A92" s="18">
        <v>92</v>
      </c>
      <c r="B92" s="68">
        <v>46060.913506944446</v>
      </c>
      <c r="C92" s="21" t="s">
        <v>103</v>
      </c>
      <c r="D92" s="67" t="s">
        <v>104</v>
      </c>
      <c r="E92" s="21"/>
      <c r="F92" s="21" t="s">
        <v>4</v>
      </c>
      <c r="G92" s="71">
        <v>3</v>
      </c>
      <c r="H92" s="21" t="s">
        <v>105</v>
      </c>
      <c r="I92" s="21" t="s">
        <v>106</v>
      </c>
      <c r="J92" s="20">
        <v>394012</v>
      </c>
      <c r="K92" s="73">
        <v>4</v>
      </c>
      <c r="L92" s="66" t="s">
        <v>166</v>
      </c>
      <c r="M92" s="21"/>
      <c r="N92" s="22"/>
      <c r="O92" s="22"/>
      <c r="P92" s="73">
        <v>3</v>
      </c>
      <c r="Q92" s="73">
        <v>3</v>
      </c>
      <c r="R92" s="73">
        <v>3</v>
      </c>
      <c r="S92" s="20">
        <f>P92+Q92+R92</f>
        <v>9</v>
      </c>
      <c r="T92" s="84"/>
      <c r="U92" s="21"/>
      <c r="V92" s="31"/>
    </row>
    <row r="93" spans="1:22" ht="15.75">
      <c r="A93" s="18">
        <v>93</v>
      </c>
      <c r="B93" s="68">
        <v>46060.946875000001</v>
      </c>
      <c r="C93" s="21" t="s">
        <v>103</v>
      </c>
      <c r="D93" s="67" t="s">
        <v>104</v>
      </c>
      <c r="E93" s="21"/>
      <c r="F93" s="21" t="s">
        <v>4</v>
      </c>
      <c r="G93" s="71">
        <v>1</v>
      </c>
      <c r="H93" s="21" t="s">
        <v>105</v>
      </c>
      <c r="I93" s="21" t="s">
        <v>106</v>
      </c>
      <c r="J93" s="20">
        <v>394013</v>
      </c>
      <c r="K93" s="73">
        <v>13</v>
      </c>
      <c r="L93" s="66" t="s">
        <v>170</v>
      </c>
      <c r="M93" s="21"/>
      <c r="N93" s="22"/>
      <c r="O93" s="22"/>
      <c r="P93" s="73">
        <v>2</v>
      </c>
      <c r="Q93" s="73">
        <v>1</v>
      </c>
      <c r="R93" s="73">
        <v>2</v>
      </c>
      <c r="S93" s="20">
        <f>P93+Q93+R93</f>
        <v>5</v>
      </c>
      <c r="T93" s="84"/>
      <c r="U93" s="21"/>
      <c r="V93" s="31"/>
    </row>
    <row r="94" spans="1:22" ht="15.75">
      <c r="A94" s="18">
        <v>94</v>
      </c>
      <c r="B94" s="68">
        <v>46104.602361111109</v>
      </c>
      <c r="C94" s="21" t="s">
        <v>103</v>
      </c>
      <c r="D94" s="67" t="s">
        <v>104</v>
      </c>
      <c r="E94" s="21"/>
      <c r="F94" s="21" t="s">
        <v>4</v>
      </c>
      <c r="G94" s="71">
        <v>1</v>
      </c>
      <c r="H94" s="21" t="s">
        <v>105</v>
      </c>
      <c r="I94" s="21" t="s">
        <v>106</v>
      </c>
      <c r="J94" s="20">
        <v>484927</v>
      </c>
      <c r="K94" s="73">
        <v>21</v>
      </c>
      <c r="L94" s="66" t="s">
        <v>160</v>
      </c>
      <c r="M94" s="21"/>
      <c r="N94" s="22"/>
      <c r="O94" s="22"/>
      <c r="P94" s="73">
        <v>1</v>
      </c>
      <c r="Q94" s="73">
        <v>1</v>
      </c>
      <c r="R94" s="73">
        <v>1</v>
      </c>
      <c r="S94" s="20">
        <f>P94+Q94+R94</f>
        <v>3</v>
      </c>
      <c r="T94" s="84"/>
      <c r="U94" s="21"/>
      <c r="V94" s="31"/>
    </row>
    <row r="95" spans="1:22" ht="15.75">
      <c r="A95" s="18">
        <v>95</v>
      </c>
      <c r="B95" s="68">
        <v>46118.657905092594</v>
      </c>
      <c r="C95" s="21" t="s">
        <v>103</v>
      </c>
      <c r="D95" s="67" t="s">
        <v>104</v>
      </c>
      <c r="E95" s="21"/>
      <c r="F95" s="21" t="s">
        <v>4</v>
      </c>
      <c r="G95" s="71" t="s">
        <v>112</v>
      </c>
      <c r="H95" s="21" t="s">
        <v>105</v>
      </c>
      <c r="I95" s="21" t="s">
        <v>106</v>
      </c>
      <c r="J95" s="20">
        <v>534334</v>
      </c>
      <c r="K95" s="73" t="s">
        <v>112</v>
      </c>
      <c r="L95" s="66" t="s">
        <v>165</v>
      </c>
      <c r="M95" s="21"/>
      <c r="N95" s="22"/>
      <c r="O95" s="22"/>
      <c r="P95" s="73" t="s">
        <v>112</v>
      </c>
      <c r="Q95" s="73" t="s">
        <v>112</v>
      </c>
      <c r="R95" s="73" t="s">
        <v>112</v>
      </c>
      <c r="S95" s="20" t="e">
        <f>P95+Q95+R95</f>
        <v>#VALUE!</v>
      </c>
      <c r="T95" s="84"/>
      <c r="U95" s="21"/>
      <c r="V95" s="31"/>
    </row>
    <row r="96" spans="1:22" ht="15.75">
      <c r="A96" s="18">
        <v>96</v>
      </c>
      <c r="B96" s="68">
        <v>46120.54283564815</v>
      </c>
      <c r="C96" s="21" t="s">
        <v>103</v>
      </c>
      <c r="D96" s="67" t="s">
        <v>104</v>
      </c>
      <c r="E96" s="21"/>
      <c r="F96" s="21" t="s">
        <v>4</v>
      </c>
      <c r="G96" s="71">
        <v>1</v>
      </c>
      <c r="H96" s="21" t="s">
        <v>105</v>
      </c>
      <c r="I96" s="21" t="s">
        <v>106</v>
      </c>
      <c r="J96" s="20">
        <v>539549</v>
      </c>
      <c r="K96" s="73">
        <v>12</v>
      </c>
      <c r="L96" s="66" t="s">
        <v>206</v>
      </c>
      <c r="M96" s="21"/>
      <c r="N96" s="22"/>
      <c r="O96" s="22"/>
      <c r="P96" s="73">
        <v>2</v>
      </c>
      <c r="Q96" s="73">
        <v>1</v>
      </c>
      <c r="R96" s="73">
        <v>2</v>
      </c>
      <c r="S96" s="20">
        <f>P96+Q96+R96</f>
        <v>5</v>
      </c>
      <c r="T96" s="84"/>
      <c r="U96" s="21"/>
      <c r="V96" s="31"/>
    </row>
    <row r="97" spans="1:22" ht="15.75">
      <c r="A97" s="18">
        <v>97</v>
      </c>
      <c r="B97" s="68">
        <v>46092.592291666668</v>
      </c>
      <c r="C97" s="21" t="s">
        <v>103</v>
      </c>
      <c r="D97" s="67" t="s">
        <v>104</v>
      </c>
      <c r="E97" s="21"/>
      <c r="F97" s="21" t="s">
        <v>4</v>
      </c>
      <c r="G97" s="71">
        <v>2</v>
      </c>
      <c r="H97" s="21" t="s">
        <v>105</v>
      </c>
      <c r="I97" s="21" t="s">
        <v>106</v>
      </c>
      <c r="J97" s="20">
        <v>417288</v>
      </c>
      <c r="K97" s="73">
        <v>2</v>
      </c>
      <c r="L97" s="66" t="s">
        <v>168</v>
      </c>
      <c r="M97" s="21"/>
      <c r="N97" s="22"/>
      <c r="O97" s="22"/>
      <c r="P97" s="73">
        <v>3</v>
      </c>
      <c r="Q97" s="73">
        <v>3</v>
      </c>
      <c r="R97" s="73">
        <v>3</v>
      </c>
      <c r="S97" s="20">
        <f>P97+Q97+R97</f>
        <v>9</v>
      </c>
      <c r="T97" s="84"/>
      <c r="U97" s="21"/>
      <c r="V97" s="31"/>
    </row>
    <row r="98" spans="1:22" ht="15.75">
      <c r="A98" s="18">
        <v>98</v>
      </c>
      <c r="B98" s="68">
        <v>46043.471875000003</v>
      </c>
      <c r="C98" s="21" t="s">
        <v>103</v>
      </c>
      <c r="D98" s="67" t="s">
        <v>104</v>
      </c>
      <c r="E98" s="21"/>
      <c r="F98" s="21" t="s">
        <v>4</v>
      </c>
      <c r="G98" s="71">
        <v>2</v>
      </c>
      <c r="H98" s="21" t="s">
        <v>105</v>
      </c>
      <c r="I98" s="21" t="s">
        <v>106</v>
      </c>
      <c r="J98" s="20">
        <v>389294</v>
      </c>
      <c r="K98" s="73">
        <v>2</v>
      </c>
      <c r="L98" s="66" t="s">
        <v>158</v>
      </c>
      <c r="M98" s="21"/>
      <c r="N98" s="22"/>
      <c r="O98" s="22"/>
      <c r="P98" s="73">
        <v>3</v>
      </c>
      <c r="Q98" s="73">
        <v>3</v>
      </c>
      <c r="R98" s="73">
        <v>3</v>
      </c>
      <c r="S98" s="20">
        <f>P98+Q98+R98</f>
        <v>9</v>
      </c>
      <c r="T98" s="84"/>
      <c r="U98" s="21"/>
      <c r="V98" s="31"/>
    </row>
    <row r="99" spans="1:22" ht="15.75">
      <c r="A99" s="18">
        <v>99</v>
      </c>
      <c r="B99" s="68">
        <v>46036.659837962965</v>
      </c>
      <c r="C99" s="21" t="s">
        <v>103</v>
      </c>
      <c r="D99" s="67" t="s">
        <v>104</v>
      </c>
      <c r="E99" s="21"/>
      <c r="F99" s="21" t="s">
        <v>4</v>
      </c>
      <c r="G99" s="71">
        <v>1</v>
      </c>
      <c r="H99" s="21" t="s">
        <v>105</v>
      </c>
      <c r="I99" s="21" t="s">
        <v>106</v>
      </c>
      <c r="J99" s="20">
        <v>387493</v>
      </c>
      <c r="K99" s="73">
        <v>20</v>
      </c>
      <c r="L99" s="66" t="s">
        <v>163</v>
      </c>
      <c r="M99" s="21"/>
      <c r="N99" s="22"/>
      <c r="O99" s="22"/>
      <c r="P99" s="73">
        <v>1</v>
      </c>
      <c r="Q99" s="73">
        <v>1</v>
      </c>
      <c r="R99" s="73">
        <v>1</v>
      </c>
      <c r="S99" s="20">
        <f>P99+Q99+R99</f>
        <v>3</v>
      </c>
      <c r="T99" s="84"/>
      <c r="U99" s="21"/>
      <c r="V99" s="31"/>
    </row>
    <row r="100" spans="1:22" ht="15.75">
      <c r="A100" s="18">
        <v>100</v>
      </c>
      <c r="B100" s="68">
        <v>46038.580081018517</v>
      </c>
      <c r="C100" s="21" t="s">
        <v>103</v>
      </c>
      <c r="D100" s="67" t="s">
        <v>104</v>
      </c>
      <c r="E100" s="21"/>
      <c r="F100" s="21" t="s">
        <v>4</v>
      </c>
      <c r="G100" s="71">
        <v>3</v>
      </c>
      <c r="H100" s="21" t="s">
        <v>105</v>
      </c>
      <c r="I100" s="21" t="s">
        <v>106</v>
      </c>
      <c r="J100" s="20">
        <v>388244</v>
      </c>
      <c r="K100" s="73">
        <v>5</v>
      </c>
      <c r="L100" s="66" t="s">
        <v>176</v>
      </c>
      <c r="M100" s="21"/>
      <c r="N100" s="22"/>
      <c r="O100" s="22"/>
      <c r="P100" s="73">
        <v>3</v>
      </c>
      <c r="Q100" s="73">
        <v>3</v>
      </c>
      <c r="R100" s="73">
        <v>3</v>
      </c>
      <c r="S100" s="20">
        <f>P100+Q100+R100</f>
        <v>9</v>
      </c>
      <c r="T100" s="84"/>
      <c r="U100" s="21"/>
      <c r="V100" s="31"/>
    </row>
    <row r="101" spans="1:22" ht="15.75">
      <c r="A101" s="18">
        <v>101</v>
      </c>
      <c r="B101" s="68">
        <v>46038.611921296295</v>
      </c>
      <c r="C101" s="21" t="s">
        <v>103</v>
      </c>
      <c r="D101" s="67" t="s">
        <v>104</v>
      </c>
      <c r="E101" s="21"/>
      <c r="F101" s="21" t="s">
        <v>4</v>
      </c>
      <c r="G101" s="71">
        <v>2</v>
      </c>
      <c r="H101" s="21" t="s">
        <v>105</v>
      </c>
      <c r="I101" s="21" t="s">
        <v>106</v>
      </c>
      <c r="J101" s="20">
        <v>388271</v>
      </c>
      <c r="K101" s="73">
        <v>2</v>
      </c>
      <c r="L101" s="66" t="s">
        <v>207</v>
      </c>
      <c r="M101" s="21"/>
      <c r="N101" s="22"/>
      <c r="O101" s="22"/>
      <c r="P101" s="73">
        <v>3</v>
      </c>
      <c r="Q101" s="73">
        <v>3</v>
      </c>
      <c r="R101" s="73">
        <v>3</v>
      </c>
      <c r="S101" s="20">
        <f>P101+Q101+R101</f>
        <v>9</v>
      </c>
      <c r="T101" s="84"/>
      <c r="U101" s="21"/>
      <c r="V101" s="31"/>
    </row>
    <row r="102" spans="1:22" ht="15.75">
      <c r="A102" s="18">
        <v>102</v>
      </c>
      <c r="B102" s="68">
        <v>46038.612430555557</v>
      </c>
      <c r="C102" s="21" t="s">
        <v>103</v>
      </c>
      <c r="D102" s="67" t="s">
        <v>104</v>
      </c>
      <c r="E102" s="21"/>
      <c r="F102" s="21" t="s">
        <v>4</v>
      </c>
      <c r="G102" s="71">
        <v>1</v>
      </c>
      <c r="H102" s="21" t="s">
        <v>105</v>
      </c>
      <c r="I102" s="21" t="s">
        <v>106</v>
      </c>
      <c r="J102" s="20">
        <v>388272</v>
      </c>
      <c r="K102" s="73">
        <v>13</v>
      </c>
      <c r="L102" s="66" t="s">
        <v>208</v>
      </c>
      <c r="M102" s="21"/>
      <c r="N102" s="22"/>
      <c r="O102" s="22"/>
      <c r="P102" s="73">
        <v>2</v>
      </c>
      <c r="Q102" s="73">
        <v>1</v>
      </c>
      <c r="R102" s="73">
        <v>2</v>
      </c>
      <c r="S102" s="20">
        <f>P102+Q102+R102</f>
        <v>5</v>
      </c>
      <c r="T102" s="84"/>
      <c r="U102" s="21"/>
      <c r="V102" s="31"/>
    </row>
    <row r="103" spans="1:22" ht="15.75">
      <c r="A103" s="18">
        <v>103</v>
      </c>
      <c r="B103" s="68">
        <v>46049.476307870369</v>
      </c>
      <c r="C103" s="21" t="s">
        <v>209</v>
      </c>
      <c r="D103" s="67" t="s">
        <v>104</v>
      </c>
      <c r="E103" s="21"/>
      <c r="F103" s="21" t="s">
        <v>4</v>
      </c>
      <c r="G103" s="71">
        <v>1</v>
      </c>
      <c r="H103" s="21" t="s">
        <v>105</v>
      </c>
      <c r="I103" s="21" t="s">
        <v>106</v>
      </c>
      <c r="J103" s="20">
        <v>390676</v>
      </c>
      <c r="K103" s="73">
        <v>12</v>
      </c>
      <c r="L103" s="66" t="s">
        <v>210</v>
      </c>
      <c r="M103" s="21"/>
      <c r="N103" s="22"/>
      <c r="O103" s="22"/>
      <c r="P103" s="73">
        <v>2</v>
      </c>
      <c r="Q103" s="73">
        <v>1</v>
      </c>
      <c r="R103" s="73">
        <v>2</v>
      </c>
      <c r="S103" s="20">
        <f>P103+Q103+R103</f>
        <v>5</v>
      </c>
      <c r="T103" s="84"/>
      <c r="U103" s="21"/>
      <c r="V103" s="31"/>
    </row>
    <row r="104" spans="1:22" ht="15.75">
      <c r="A104" s="18">
        <v>104</v>
      </c>
      <c r="B104" s="68">
        <v>46057.649652777778</v>
      </c>
      <c r="C104" s="21" t="s">
        <v>209</v>
      </c>
      <c r="D104" s="67" t="s">
        <v>104</v>
      </c>
      <c r="E104" s="21"/>
      <c r="F104" s="21" t="s">
        <v>4</v>
      </c>
      <c r="G104" s="71" t="s">
        <v>112</v>
      </c>
      <c r="H104" s="21" t="s">
        <v>105</v>
      </c>
      <c r="I104" s="21" t="s">
        <v>106</v>
      </c>
      <c r="J104" s="20">
        <v>393206</v>
      </c>
      <c r="K104" s="73" t="s">
        <v>112</v>
      </c>
      <c r="L104" s="66" t="s">
        <v>196</v>
      </c>
      <c r="M104" s="21"/>
      <c r="N104" s="22"/>
      <c r="O104" s="22"/>
      <c r="P104" s="73" t="s">
        <v>112</v>
      </c>
      <c r="Q104" s="73" t="s">
        <v>112</v>
      </c>
      <c r="R104" s="73" t="s">
        <v>112</v>
      </c>
      <c r="S104" s="20" t="e">
        <f>P104+Q104+R104</f>
        <v>#VALUE!</v>
      </c>
      <c r="T104" s="84"/>
      <c r="U104" s="21"/>
      <c r="V104" s="31"/>
    </row>
    <row r="105" spans="1:22" ht="15.75">
      <c r="A105" s="18">
        <v>105</v>
      </c>
      <c r="B105" s="68">
        <v>46058.435925925929</v>
      </c>
      <c r="C105" s="21" t="s">
        <v>103</v>
      </c>
      <c r="D105" s="67" t="s">
        <v>104</v>
      </c>
      <c r="E105" s="21"/>
      <c r="F105" s="21" t="s">
        <v>4</v>
      </c>
      <c r="G105" s="71">
        <v>1</v>
      </c>
      <c r="H105" s="21" t="s">
        <v>105</v>
      </c>
      <c r="I105" s="21" t="s">
        <v>106</v>
      </c>
      <c r="J105" s="20">
        <v>393411</v>
      </c>
      <c r="K105" s="73">
        <v>13</v>
      </c>
      <c r="L105" s="66" t="s">
        <v>211</v>
      </c>
      <c r="M105" s="21"/>
      <c r="N105" s="22"/>
      <c r="O105" s="22"/>
      <c r="P105" s="73">
        <v>2</v>
      </c>
      <c r="Q105" s="73">
        <v>1</v>
      </c>
      <c r="R105" s="73">
        <v>2</v>
      </c>
      <c r="S105" s="20">
        <f>P105+Q105+R105</f>
        <v>5</v>
      </c>
      <c r="T105" s="84"/>
      <c r="U105" s="21"/>
      <c r="V105" s="31"/>
    </row>
    <row r="106" spans="1:22" ht="15.75">
      <c r="A106" s="18">
        <v>106</v>
      </c>
      <c r="B106" s="68">
        <v>46148</v>
      </c>
      <c r="C106" s="21" t="s">
        <v>103</v>
      </c>
      <c r="D106" s="67" t="s">
        <v>104</v>
      </c>
      <c r="E106" s="21"/>
      <c r="F106" s="21" t="s">
        <v>4</v>
      </c>
      <c r="G106" s="71">
        <v>2</v>
      </c>
      <c r="H106" s="21" t="s">
        <v>105</v>
      </c>
      <c r="I106" s="21" t="s">
        <v>106</v>
      </c>
      <c r="J106" s="20">
        <v>640903</v>
      </c>
      <c r="K106" s="73">
        <v>2</v>
      </c>
      <c r="L106" s="66" t="s">
        <v>212</v>
      </c>
      <c r="M106" s="21" t="s">
        <v>110</v>
      </c>
      <c r="N106" s="22"/>
      <c r="O106" s="22"/>
      <c r="P106" s="73">
        <v>3</v>
      </c>
      <c r="Q106" s="73">
        <v>3</v>
      </c>
      <c r="R106" s="73">
        <v>3</v>
      </c>
      <c r="S106" s="20">
        <f>P106+Q106+R106</f>
        <v>9</v>
      </c>
      <c r="T106" s="84"/>
      <c r="U106" s="21"/>
      <c r="V106" s="31"/>
    </row>
    <row r="107" spans="1:22" ht="15.75">
      <c r="A107" s="18">
        <v>29</v>
      </c>
      <c r="B107" s="68">
        <v>46083</v>
      </c>
      <c r="C107" s="21" t="s">
        <v>103</v>
      </c>
      <c r="D107" s="67" t="s">
        <v>104</v>
      </c>
      <c r="E107" s="21"/>
      <c r="F107" s="21" t="s">
        <v>5</v>
      </c>
      <c r="G107" s="71" t="s">
        <v>112</v>
      </c>
      <c r="H107" s="21" t="s">
        <v>105</v>
      </c>
      <c r="I107" s="21" t="s">
        <v>106</v>
      </c>
      <c r="J107" s="20">
        <v>392707</v>
      </c>
      <c r="K107" s="73"/>
      <c r="L107" s="66" t="s">
        <v>213</v>
      </c>
      <c r="M107" s="21" t="s">
        <v>110</v>
      </c>
      <c r="N107" s="22"/>
      <c r="O107" s="22" t="b">
        <v>1</v>
      </c>
      <c r="P107" s="73" t="s">
        <v>112</v>
      </c>
      <c r="Q107" s="73" t="s">
        <v>112</v>
      </c>
      <c r="R107" s="73" t="s">
        <v>112</v>
      </c>
      <c r="S107" s="20"/>
      <c r="T107" s="84"/>
      <c r="U107" s="68"/>
      <c r="V107" s="21"/>
    </row>
    <row r="108" spans="1:22" ht="15.75">
      <c r="A108" s="18">
        <v>108</v>
      </c>
      <c r="B108" s="68">
        <v>46153</v>
      </c>
      <c r="C108" s="21" t="s">
        <v>118</v>
      </c>
      <c r="D108" s="67" t="s">
        <v>104</v>
      </c>
      <c r="E108" s="21" t="s">
        <v>214</v>
      </c>
      <c r="F108" s="21" t="s">
        <v>4</v>
      </c>
      <c r="G108" s="71">
        <v>1</v>
      </c>
      <c r="H108" s="21" t="s">
        <v>159</v>
      </c>
      <c r="I108" s="21" t="s">
        <v>106</v>
      </c>
      <c r="J108" s="20" t="s">
        <v>140</v>
      </c>
      <c r="K108" s="73" t="s">
        <v>140</v>
      </c>
      <c r="L108" s="66" t="s">
        <v>215</v>
      </c>
      <c r="M108" s="21"/>
      <c r="N108" s="22"/>
      <c r="O108" s="22"/>
      <c r="P108" s="73">
        <v>1</v>
      </c>
      <c r="Q108" s="73">
        <v>2</v>
      </c>
      <c r="R108" s="73">
        <v>2</v>
      </c>
      <c r="S108" s="20">
        <f>P108+Q108+R108</f>
        <v>5</v>
      </c>
      <c r="T108" s="84"/>
      <c r="U108" s="21"/>
      <c r="V108" s="31"/>
    </row>
    <row r="109" spans="1:22" ht="15.75">
      <c r="A109" s="18">
        <v>109</v>
      </c>
      <c r="B109" s="68">
        <v>46154</v>
      </c>
      <c r="C109" s="21" t="s">
        <v>103</v>
      </c>
      <c r="D109" s="67" t="s">
        <v>104</v>
      </c>
      <c r="E109" s="21"/>
      <c r="F109" s="21" t="s">
        <v>4</v>
      </c>
      <c r="G109" s="71">
        <v>2</v>
      </c>
      <c r="H109" s="21" t="s">
        <v>105</v>
      </c>
      <c r="I109" s="21" t="s">
        <v>106</v>
      </c>
      <c r="J109" s="20">
        <v>642989</v>
      </c>
      <c r="K109" s="73">
        <v>2</v>
      </c>
      <c r="L109" s="66" t="s">
        <v>216</v>
      </c>
      <c r="M109" s="21"/>
      <c r="N109" s="22"/>
      <c r="O109" s="22"/>
      <c r="P109" s="73">
        <v>3</v>
      </c>
      <c r="Q109" s="73">
        <v>3</v>
      </c>
      <c r="R109" s="73">
        <v>3</v>
      </c>
      <c r="S109" s="20">
        <f>P109+Q109+R109</f>
        <v>9</v>
      </c>
      <c r="T109" s="84"/>
      <c r="U109" s="21"/>
      <c r="V109" s="31"/>
    </row>
    <row r="110" spans="1:22" ht="15.75">
      <c r="A110" s="18">
        <v>110</v>
      </c>
      <c r="B110" s="68">
        <v>46155</v>
      </c>
      <c r="C110" s="21" t="s">
        <v>129</v>
      </c>
      <c r="D110" s="67" t="s">
        <v>104</v>
      </c>
      <c r="E110" s="21" t="s">
        <v>217</v>
      </c>
      <c r="F110" s="69" t="s">
        <v>4</v>
      </c>
      <c r="G110" s="71"/>
      <c r="H110" s="21" t="s">
        <v>159</v>
      </c>
      <c r="I110" s="21" t="s">
        <v>106</v>
      </c>
      <c r="J110" s="20">
        <v>645061</v>
      </c>
      <c r="K110" s="73">
        <v>1</v>
      </c>
      <c r="L110" s="66" t="s">
        <v>218</v>
      </c>
      <c r="M110" s="21" t="s">
        <v>110</v>
      </c>
      <c r="N110" s="22"/>
      <c r="O110" s="22"/>
      <c r="P110" s="73">
        <v>2</v>
      </c>
      <c r="Q110" s="73">
        <v>2</v>
      </c>
      <c r="R110" s="73">
        <v>2</v>
      </c>
      <c r="S110" s="20">
        <f>P110+Q110+R110</f>
        <v>6</v>
      </c>
      <c r="T110" s="84"/>
      <c r="U110" s="21"/>
      <c r="V110" s="31"/>
    </row>
    <row r="111" spans="1:22" ht="15.75">
      <c r="A111" s="18">
        <v>107</v>
      </c>
      <c r="B111" s="68">
        <v>46146</v>
      </c>
      <c r="C111" s="21" t="s">
        <v>219</v>
      </c>
      <c r="D111" s="67" t="s">
        <v>104</v>
      </c>
      <c r="E111" s="21"/>
      <c r="F111" s="21" t="s">
        <v>4</v>
      </c>
      <c r="G111" s="71" t="s">
        <v>112</v>
      </c>
      <c r="H111" s="21" t="s">
        <v>105</v>
      </c>
      <c r="I111" s="21" t="s">
        <v>106</v>
      </c>
      <c r="J111" s="20">
        <v>640188</v>
      </c>
      <c r="K111" s="73">
        <v>16</v>
      </c>
      <c r="L111" s="66" t="s">
        <v>220</v>
      </c>
      <c r="M111" s="21" t="s">
        <v>110</v>
      </c>
      <c r="N111" s="22"/>
      <c r="O111" s="22" t="b">
        <v>1</v>
      </c>
      <c r="P111" s="73" t="s">
        <v>112</v>
      </c>
      <c r="Q111" s="73" t="s">
        <v>112</v>
      </c>
      <c r="R111" s="73" t="s">
        <v>112</v>
      </c>
      <c r="S111" s="20" t="e">
        <f>P111+Q111+R111</f>
        <v>#VALUE!</v>
      </c>
      <c r="T111" s="84"/>
      <c r="U111" s="21"/>
      <c r="V111" s="31"/>
    </row>
    <row r="112" spans="1:22" ht="15.75">
      <c r="A112" s="18">
        <v>112</v>
      </c>
      <c r="B112" s="68">
        <v>46162</v>
      </c>
      <c r="C112" s="21" t="s">
        <v>103</v>
      </c>
      <c r="D112" s="67" t="s">
        <v>104</v>
      </c>
      <c r="E112" s="21"/>
      <c r="F112" s="21" t="s">
        <v>4</v>
      </c>
      <c r="G112" s="71"/>
      <c r="H112" s="21" t="s">
        <v>105</v>
      </c>
      <c r="I112" s="21" t="s">
        <v>106</v>
      </c>
      <c r="J112" s="20">
        <v>656857</v>
      </c>
      <c r="K112" s="73" t="s">
        <v>140</v>
      </c>
      <c r="L112" s="66" t="s">
        <v>221</v>
      </c>
      <c r="M112" s="21"/>
      <c r="N112" s="22"/>
      <c r="O112" s="22"/>
      <c r="P112" s="73">
        <v>1</v>
      </c>
      <c r="Q112" s="73">
        <v>2</v>
      </c>
      <c r="R112" s="73">
        <v>1</v>
      </c>
      <c r="S112" s="20">
        <f>P112+Q112+R112</f>
        <v>4</v>
      </c>
      <c r="T112" s="84"/>
      <c r="U112" s="21"/>
      <c r="V112" s="31"/>
    </row>
    <row r="113" spans="1:22" ht="15.75">
      <c r="A113" s="18">
        <v>113</v>
      </c>
      <c r="B113" s="68">
        <v>46163</v>
      </c>
      <c r="C113" s="21" t="s">
        <v>129</v>
      </c>
      <c r="D113" s="67" t="s">
        <v>106</v>
      </c>
      <c r="E113" s="21" t="s">
        <v>222</v>
      </c>
      <c r="F113" s="21" t="s">
        <v>4</v>
      </c>
      <c r="G113" s="71"/>
      <c r="H113" s="21" t="s">
        <v>159</v>
      </c>
      <c r="I113" s="21" t="s">
        <v>106</v>
      </c>
      <c r="J113" s="20">
        <v>657117</v>
      </c>
      <c r="K113" s="73">
        <v>1</v>
      </c>
      <c r="L113" s="66" t="s">
        <v>223</v>
      </c>
      <c r="M113" s="21" t="s">
        <v>110</v>
      </c>
      <c r="N113" s="22"/>
      <c r="O113" s="22"/>
      <c r="P113" s="73">
        <v>1</v>
      </c>
      <c r="Q113" s="73">
        <v>1</v>
      </c>
      <c r="R113" s="73">
        <v>1</v>
      </c>
      <c r="S113" s="20">
        <f>P113+Q113+R113</f>
        <v>3</v>
      </c>
      <c r="T113" s="84"/>
      <c r="U113" s="21"/>
      <c r="V113" s="31"/>
    </row>
    <row r="114" spans="1:22" ht="15.75">
      <c r="A114" s="18">
        <v>114</v>
      </c>
      <c r="B114" s="68">
        <v>46163</v>
      </c>
      <c r="C114" s="21" t="s">
        <v>103</v>
      </c>
      <c r="D114" s="67" t="s">
        <v>104</v>
      </c>
      <c r="E114" s="21"/>
      <c r="F114" s="21" t="s">
        <v>4</v>
      </c>
      <c r="G114" s="71"/>
      <c r="H114" s="21" t="s">
        <v>105</v>
      </c>
      <c r="I114" s="21" t="s">
        <v>106</v>
      </c>
      <c r="J114" s="20">
        <v>657177</v>
      </c>
      <c r="K114" s="73">
        <v>1</v>
      </c>
      <c r="L114" s="66" t="s">
        <v>224</v>
      </c>
      <c r="M114" s="21" t="s">
        <v>110</v>
      </c>
      <c r="N114" s="22"/>
      <c r="O114" s="22"/>
      <c r="P114" s="73">
        <v>1</v>
      </c>
      <c r="Q114" s="73">
        <v>1</v>
      </c>
      <c r="R114" s="73">
        <v>1</v>
      </c>
      <c r="S114" s="20">
        <f>P114+Q114+R114</f>
        <v>3</v>
      </c>
      <c r="T114" s="84"/>
      <c r="U114" s="21" t="s">
        <v>128</v>
      </c>
      <c r="V114" s="31"/>
    </row>
    <row r="115" spans="1:22" ht="15.75">
      <c r="A115" s="18">
        <v>115</v>
      </c>
      <c r="B115" s="68">
        <v>46164</v>
      </c>
      <c r="C115" s="21" t="s">
        <v>103</v>
      </c>
      <c r="D115" s="67" t="s">
        <v>104</v>
      </c>
      <c r="E115" s="21"/>
      <c r="F115" s="21" t="s">
        <v>4</v>
      </c>
      <c r="G115" s="71"/>
      <c r="H115" s="21" t="s">
        <v>105</v>
      </c>
      <c r="I115" s="21" t="s">
        <v>106</v>
      </c>
      <c r="J115" s="20">
        <v>657521</v>
      </c>
      <c r="K115" s="73">
        <v>1</v>
      </c>
      <c r="L115" s="66" t="s">
        <v>225</v>
      </c>
      <c r="M115" s="21" t="s">
        <v>110</v>
      </c>
      <c r="N115" s="22"/>
      <c r="O115" s="22"/>
      <c r="P115" s="73">
        <v>1</v>
      </c>
      <c r="Q115" s="73">
        <v>1</v>
      </c>
      <c r="R115" s="73">
        <v>1</v>
      </c>
      <c r="S115" s="20">
        <f>P115+Q115+R115</f>
        <v>3</v>
      </c>
      <c r="T115" s="84"/>
      <c r="U115" s="21"/>
      <c r="V115" s="31"/>
    </row>
    <row r="116" spans="1:22" ht="15.75">
      <c r="A116" s="18">
        <v>116</v>
      </c>
      <c r="B116" s="68">
        <v>46167</v>
      </c>
      <c r="C116" s="21" t="s">
        <v>103</v>
      </c>
      <c r="D116" s="67" t="s">
        <v>104</v>
      </c>
      <c r="E116" s="21"/>
      <c r="F116" s="21" t="s">
        <v>4</v>
      </c>
      <c r="G116" s="71"/>
      <c r="H116" s="21" t="s">
        <v>159</v>
      </c>
      <c r="I116" s="21" t="s">
        <v>106</v>
      </c>
      <c r="J116" s="20">
        <v>658406</v>
      </c>
      <c r="K116" s="73">
        <v>1</v>
      </c>
      <c r="L116" s="66" t="s">
        <v>226</v>
      </c>
      <c r="M116" s="21" t="s">
        <v>110</v>
      </c>
      <c r="N116" s="22"/>
      <c r="O116" s="22"/>
      <c r="P116" s="73">
        <v>1</v>
      </c>
      <c r="Q116" s="73">
        <v>1</v>
      </c>
      <c r="R116" s="73">
        <v>1</v>
      </c>
      <c r="S116" s="20">
        <f>P116+Q116+R116</f>
        <v>3</v>
      </c>
      <c r="T116" s="84"/>
      <c r="U116" s="21" t="s">
        <v>128</v>
      </c>
      <c r="V116" s="31"/>
    </row>
    <row r="117" spans="1:22" ht="15" customHeight="1">
      <c r="A117" s="18">
        <v>117</v>
      </c>
      <c r="B117" s="68">
        <v>46170</v>
      </c>
      <c r="C117" s="21" t="s">
        <v>103</v>
      </c>
      <c r="D117" s="67" t="s">
        <v>104</v>
      </c>
      <c r="E117" s="21"/>
      <c r="F117" s="21" t="s">
        <v>4</v>
      </c>
      <c r="G117" s="71"/>
      <c r="H117" s="21" t="s">
        <v>105</v>
      </c>
      <c r="I117" s="21" t="s">
        <v>106</v>
      </c>
      <c r="J117" s="20">
        <v>659617</v>
      </c>
      <c r="K117" s="73">
        <v>1</v>
      </c>
      <c r="L117" s="66" t="s">
        <v>227</v>
      </c>
      <c r="M117" s="21"/>
      <c r="N117" s="22"/>
      <c r="O117" s="22"/>
      <c r="P117" s="73">
        <v>1</v>
      </c>
      <c r="Q117" s="73">
        <v>1</v>
      </c>
      <c r="R117" s="73">
        <v>1</v>
      </c>
      <c r="S117" s="20">
        <f>P117+Q117+R117</f>
        <v>3</v>
      </c>
      <c r="T117" s="84"/>
      <c r="U117" s="21" t="s">
        <v>128</v>
      </c>
      <c r="V117" s="31"/>
    </row>
    <row r="118" spans="1:22" ht="15" customHeight="1">
      <c r="A118" s="18">
        <v>118</v>
      </c>
      <c r="B118" s="68">
        <v>46170</v>
      </c>
      <c r="C118" s="21" t="s">
        <v>129</v>
      </c>
      <c r="D118" s="67" t="s">
        <v>106</v>
      </c>
      <c r="E118" s="21"/>
      <c r="F118" s="21" t="s">
        <v>4</v>
      </c>
      <c r="G118" s="71"/>
      <c r="H118" s="21" t="s">
        <v>159</v>
      </c>
      <c r="I118" s="21" t="s">
        <v>106</v>
      </c>
      <c r="J118" s="20">
        <v>659679</v>
      </c>
      <c r="K118" s="73">
        <v>2</v>
      </c>
      <c r="L118" s="66" t="s">
        <v>228</v>
      </c>
      <c r="M118" s="21" t="s">
        <v>110</v>
      </c>
      <c r="N118" s="22"/>
      <c r="O118" s="22"/>
      <c r="P118" s="73">
        <v>1</v>
      </c>
      <c r="Q118" s="73">
        <v>1</v>
      </c>
      <c r="R118" s="73">
        <v>1</v>
      </c>
      <c r="S118" s="20">
        <f>P118+Q118+R118</f>
        <v>3</v>
      </c>
      <c r="T118" s="84"/>
      <c r="U118" s="21"/>
      <c r="V118" s="31"/>
    </row>
    <row r="119" spans="1:22" ht="15" customHeight="1">
      <c r="A119" s="67">
        <v>138</v>
      </c>
      <c r="B119" s="68">
        <v>46223</v>
      </c>
      <c r="C119" s="67" t="s">
        <v>131</v>
      </c>
      <c r="D119" s="67" t="s">
        <v>104</v>
      </c>
      <c r="E119" s="67" t="s">
        <v>229</v>
      </c>
      <c r="F119" s="67" t="s">
        <v>230</v>
      </c>
      <c r="G119" s="67"/>
      <c r="H119" s="67" t="s">
        <v>105</v>
      </c>
      <c r="I119" s="67" t="s">
        <v>106</v>
      </c>
      <c r="J119" s="67">
        <v>713714</v>
      </c>
      <c r="K119" s="67">
        <v>1</v>
      </c>
      <c r="L119" s="125" t="s">
        <v>231</v>
      </c>
      <c r="M119" s="67"/>
      <c r="N119" s="67"/>
      <c r="O119" s="67" t="b">
        <v>1</v>
      </c>
      <c r="P119" s="67"/>
      <c r="Q119" s="67"/>
      <c r="R119" s="67"/>
      <c r="S119" s="67"/>
      <c r="T119" s="84"/>
      <c r="U119" s="67"/>
      <c r="V119" s="67"/>
    </row>
    <row r="120" spans="1:22" ht="15" customHeight="1">
      <c r="A120" s="67">
        <v>120</v>
      </c>
      <c r="B120" s="68">
        <v>46174</v>
      </c>
      <c r="C120" s="67" t="s">
        <v>103</v>
      </c>
      <c r="D120" s="67" t="s">
        <v>104</v>
      </c>
      <c r="E120" s="67"/>
      <c r="F120" s="67" t="s">
        <v>4</v>
      </c>
      <c r="G120" s="67"/>
      <c r="H120" s="67" t="s">
        <v>105</v>
      </c>
      <c r="I120" s="67" t="s">
        <v>106</v>
      </c>
      <c r="J120" s="67">
        <v>660361</v>
      </c>
      <c r="K120" s="67">
        <v>2</v>
      </c>
      <c r="L120" s="125" t="s">
        <v>232</v>
      </c>
      <c r="M120" s="67" t="s">
        <v>110</v>
      </c>
      <c r="N120" s="67" t="b">
        <v>0</v>
      </c>
      <c r="O120" s="67" t="b">
        <v>1</v>
      </c>
      <c r="P120" s="67"/>
      <c r="Q120" s="67"/>
      <c r="R120" s="67"/>
      <c r="S120" s="67">
        <f>P120+Q120+R120</f>
        <v>0</v>
      </c>
      <c r="T120" s="84"/>
      <c r="U120" s="67"/>
      <c r="V120" s="67"/>
    </row>
    <row r="121" spans="1:22" ht="15" customHeight="1">
      <c r="A121" s="67">
        <v>30</v>
      </c>
      <c r="B121" s="68">
        <v>45845</v>
      </c>
      <c r="C121" s="67" t="s">
        <v>103</v>
      </c>
      <c r="D121" s="67" t="s">
        <v>104</v>
      </c>
      <c r="E121" s="67"/>
      <c r="F121" s="67" t="s">
        <v>8</v>
      </c>
      <c r="G121" s="67">
        <v>1</v>
      </c>
      <c r="H121" s="67" t="s">
        <v>105</v>
      </c>
      <c r="I121" s="67" t="s">
        <v>106</v>
      </c>
      <c r="J121" s="67">
        <v>312689</v>
      </c>
      <c r="K121" s="67"/>
      <c r="L121" s="125" t="s">
        <v>233</v>
      </c>
      <c r="M121" s="67" t="s">
        <v>110</v>
      </c>
      <c r="N121" s="67"/>
      <c r="O121" s="67" t="b">
        <v>1</v>
      </c>
      <c r="P121" s="67">
        <v>1</v>
      </c>
      <c r="Q121" s="67">
        <v>3</v>
      </c>
      <c r="R121" s="67">
        <v>3</v>
      </c>
      <c r="S121" s="67">
        <f>P121+Q121+R121</f>
        <v>7</v>
      </c>
      <c r="T121" s="84"/>
      <c r="U121" s="67"/>
      <c r="V121" s="67"/>
    </row>
    <row r="122" spans="1:22" ht="15" customHeight="1">
      <c r="A122" s="67">
        <v>19</v>
      </c>
      <c r="B122" s="68">
        <v>46269</v>
      </c>
      <c r="C122" s="67" t="s">
        <v>103</v>
      </c>
      <c r="D122" s="67" t="s">
        <v>104</v>
      </c>
      <c r="E122" s="67"/>
      <c r="F122" s="67" t="s">
        <v>4</v>
      </c>
      <c r="G122" s="67">
        <v>1</v>
      </c>
      <c r="H122" s="67" t="s">
        <v>105</v>
      </c>
      <c r="I122" s="67" t="s">
        <v>106</v>
      </c>
      <c r="J122" s="67">
        <v>543213</v>
      </c>
      <c r="K122" s="67">
        <v>11</v>
      </c>
      <c r="L122" s="125" t="s">
        <v>234</v>
      </c>
      <c r="M122" s="67" t="s">
        <v>55</v>
      </c>
      <c r="N122" s="67"/>
      <c r="O122" s="67" t="b">
        <v>1</v>
      </c>
      <c r="P122" s="67">
        <v>1</v>
      </c>
      <c r="Q122" s="67">
        <v>1</v>
      </c>
      <c r="R122" s="67">
        <v>1</v>
      </c>
      <c r="S122" s="67">
        <f>P122+Q122+R122</f>
        <v>3</v>
      </c>
      <c r="T122" s="84"/>
      <c r="U122" s="67"/>
      <c r="V122" s="67"/>
    </row>
    <row r="123" spans="1:22" ht="15" customHeight="1">
      <c r="A123" s="67">
        <v>123</v>
      </c>
      <c r="B123" s="68">
        <v>46121</v>
      </c>
      <c r="C123" s="67" t="s">
        <v>103</v>
      </c>
      <c r="D123" s="67" t="s">
        <v>104</v>
      </c>
      <c r="E123" s="67"/>
      <c r="F123" s="67" t="s">
        <v>4</v>
      </c>
      <c r="G123" s="67"/>
      <c r="H123" s="67" t="s">
        <v>115</v>
      </c>
      <c r="I123" s="67" t="s">
        <v>106</v>
      </c>
      <c r="J123" s="67">
        <v>543229</v>
      </c>
      <c r="K123" s="67">
        <v>2</v>
      </c>
      <c r="L123" s="125" t="s">
        <v>125</v>
      </c>
      <c r="M123" s="67"/>
      <c r="N123" s="67"/>
      <c r="O123" s="67"/>
      <c r="P123" s="67">
        <v>3</v>
      </c>
      <c r="Q123" s="67">
        <v>2</v>
      </c>
      <c r="R123" s="67">
        <v>2</v>
      </c>
      <c r="S123" s="67">
        <f>P123+Q123+R123</f>
        <v>7</v>
      </c>
      <c r="T123" s="84"/>
      <c r="U123" s="67"/>
      <c r="V123" s="67"/>
    </row>
    <row r="124" spans="1:22" ht="15" customHeight="1">
      <c r="A124" s="67">
        <v>124</v>
      </c>
      <c r="B124" s="68">
        <v>46174</v>
      </c>
      <c r="C124" s="67" t="s">
        <v>129</v>
      </c>
      <c r="D124" s="67" t="s">
        <v>106</v>
      </c>
      <c r="E124" s="67"/>
      <c r="F124" s="67" t="s">
        <v>4</v>
      </c>
      <c r="G124" s="67"/>
      <c r="H124" s="67" t="s">
        <v>115</v>
      </c>
      <c r="I124" s="67" t="s">
        <v>106</v>
      </c>
      <c r="J124" s="67">
        <v>663594</v>
      </c>
      <c r="K124" s="67"/>
      <c r="L124" s="125" t="s">
        <v>235</v>
      </c>
      <c r="M124" s="67"/>
      <c r="N124" s="67"/>
      <c r="O124" s="67"/>
      <c r="P124" s="67"/>
      <c r="Q124" s="67"/>
      <c r="R124" s="67"/>
      <c r="S124" s="67">
        <f>P124+Q124+R124</f>
        <v>0</v>
      </c>
      <c r="T124" s="84"/>
      <c r="U124" s="67"/>
      <c r="V124" s="67"/>
    </row>
    <row r="125" spans="1:22" ht="15" customHeight="1">
      <c r="A125" s="67">
        <v>125</v>
      </c>
      <c r="B125" s="68">
        <v>46174</v>
      </c>
      <c r="C125" s="67" t="s">
        <v>236</v>
      </c>
      <c r="D125" s="67" t="s">
        <v>237</v>
      </c>
      <c r="E125" s="67"/>
      <c r="F125" s="67" t="s">
        <v>4</v>
      </c>
      <c r="G125" s="67"/>
      <c r="H125" s="67" t="s">
        <v>159</v>
      </c>
      <c r="I125" s="67" t="s">
        <v>106</v>
      </c>
      <c r="J125" s="67">
        <v>663652</v>
      </c>
      <c r="K125" s="67"/>
      <c r="L125" s="125" t="s">
        <v>238</v>
      </c>
      <c r="M125" s="67"/>
      <c r="N125" s="67"/>
      <c r="O125" s="67"/>
      <c r="P125" s="67">
        <v>1</v>
      </c>
      <c r="Q125" s="67">
        <v>1</v>
      </c>
      <c r="R125" s="67">
        <v>1</v>
      </c>
      <c r="S125" s="67">
        <f>P125+Q125+R125</f>
        <v>3</v>
      </c>
      <c r="T125" s="84"/>
      <c r="U125" s="67"/>
      <c r="V125" s="67"/>
    </row>
    <row r="126" spans="1:22" ht="15" customHeight="1">
      <c r="A126" s="67">
        <v>128</v>
      </c>
      <c r="B126" s="68">
        <v>46182</v>
      </c>
      <c r="C126" s="67" t="s">
        <v>103</v>
      </c>
      <c r="D126" s="67" t="s">
        <v>104</v>
      </c>
      <c r="E126" s="67"/>
      <c r="F126" s="67" t="s">
        <v>4</v>
      </c>
      <c r="G126" s="67"/>
      <c r="H126" s="67" t="s">
        <v>105</v>
      </c>
      <c r="I126" s="67" t="s">
        <v>106</v>
      </c>
      <c r="J126" s="67">
        <v>670506</v>
      </c>
      <c r="K126" s="67">
        <v>1</v>
      </c>
      <c r="L126" s="125" t="s">
        <v>239</v>
      </c>
      <c r="M126" s="67" t="s">
        <v>110</v>
      </c>
      <c r="N126" s="67"/>
      <c r="O126" s="67" t="b">
        <v>1</v>
      </c>
      <c r="P126" s="67"/>
      <c r="Q126" s="67"/>
      <c r="R126" s="67"/>
      <c r="S126" s="67"/>
      <c r="T126" s="84"/>
      <c r="U126" s="67"/>
      <c r="V126" s="67"/>
    </row>
    <row r="127" spans="1:22" ht="15" customHeight="1">
      <c r="A127" s="67">
        <v>127</v>
      </c>
      <c r="B127" s="68">
        <v>46174</v>
      </c>
      <c r="C127" s="67" t="s">
        <v>103</v>
      </c>
      <c r="D127" s="67" t="s">
        <v>104</v>
      </c>
      <c r="E127" s="67"/>
      <c r="F127" s="67" t="s">
        <v>4</v>
      </c>
      <c r="G127" s="67"/>
      <c r="H127" s="67" t="s">
        <v>159</v>
      </c>
      <c r="I127" s="67" t="s">
        <v>106</v>
      </c>
      <c r="J127" s="67">
        <v>666988</v>
      </c>
      <c r="K127" s="67"/>
      <c r="L127" s="125" t="s">
        <v>240</v>
      </c>
      <c r="M127" s="67"/>
      <c r="N127" s="67"/>
      <c r="O127" s="67"/>
      <c r="P127" s="67"/>
      <c r="Q127" s="67"/>
      <c r="R127" s="67"/>
      <c r="S127" s="67"/>
      <c r="T127" s="84"/>
      <c r="U127" s="67"/>
      <c r="V127" s="67"/>
    </row>
    <row r="128" spans="1:22" ht="15" customHeight="1">
      <c r="A128" s="67">
        <v>16</v>
      </c>
      <c r="B128" s="68">
        <v>46269</v>
      </c>
      <c r="C128" s="67" t="s">
        <v>103</v>
      </c>
      <c r="D128" s="67" t="s">
        <v>104</v>
      </c>
      <c r="E128" s="67"/>
      <c r="F128" s="67" t="s">
        <v>4</v>
      </c>
      <c r="G128" s="67">
        <v>1</v>
      </c>
      <c r="H128" s="67" t="s">
        <v>105</v>
      </c>
      <c r="I128" s="67" t="s">
        <v>106</v>
      </c>
      <c r="J128" s="67">
        <v>543211</v>
      </c>
      <c r="K128" s="67">
        <v>12</v>
      </c>
      <c r="L128" s="125" t="s">
        <v>241</v>
      </c>
      <c r="M128" s="67" t="s">
        <v>110</v>
      </c>
      <c r="N128" s="67"/>
      <c r="O128" s="67" t="b">
        <v>1</v>
      </c>
      <c r="P128" s="67">
        <v>1</v>
      </c>
      <c r="Q128" s="67">
        <v>1</v>
      </c>
      <c r="R128" s="67">
        <v>1</v>
      </c>
      <c r="S128" s="67">
        <f>P128+Q128+R128</f>
        <v>3</v>
      </c>
      <c r="T128" s="84"/>
      <c r="U128" s="67"/>
      <c r="V128" s="67"/>
    </row>
    <row r="129" spans="1:145" ht="15" customHeight="1">
      <c r="A129" s="67">
        <v>132</v>
      </c>
      <c r="B129" s="68">
        <v>46191</v>
      </c>
      <c r="C129" s="67" t="s">
        <v>103</v>
      </c>
      <c r="D129" s="67" t="s">
        <v>104</v>
      </c>
      <c r="E129" s="67"/>
      <c r="F129" s="67" t="s">
        <v>4</v>
      </c>
      <c r="G129" s="67">
        <v>1</v>
      </c>
      <c r="H129" s="67" t="s">
        <v>105</v>
      </c>
      <c r="I129" s="67" t="s">
        <v>106</v>
      </c>
      <c r="J129" s="67">
        <v>679032</v>
      </c>
      <c r="K129" s="67">
        <v>1</v>
      </c>
      <c r="L129" s="125" t="s">
        <v>242</v>
      </c>
      <c r="M129" s="67" t="s">
        <v>110</v>
      </c>
      <c r="N129" s="67"/>
      <c r="O129" s="67" t="b">
        <v>1</v>
      </c>
      <c r="P129" s="67"/>
      <c r="Q129" s="67"/>
      <c r="R129" s="67"/>
      <c r="S129" s="67"/>
      <c r="T129" s="84"/>
      <c r="U129" s="67"/>
      <c r="V129" s="67"/>
    </row>
    <row r="130" spans="1:145" ht="15" customHeight="1">
      <c r="A130" s="67">
        <v>15</v>
      </c>
      <c r="B130" s="68">
        <v>46269</v>
      </c>
      <c r="C130" s="67" t="s">
        <v>103</v>
      </c>
      <c r="D130" s="67" t="s">
        <v>104</v>
      </c>
      <c r="E130" s="67"/>
      <c r="F130" s="67" t="s">
        <v>230</v>
      </c>
      <c r="G130" s="67">
        <v>1</v>
      </c>
      <c r="H130" s="67" t="s">
        <v>105</v>
      </c>
      <c r="I130" s="67" t="s">
        <v>106</v>
      </c>
      <c r="J130" s="67">
        <v>543233</v>
      </c>
      <c r="K130" s="67"/>
      <c r="L130" s="125" t="s">
        <v>243</v>
      </c>
      <c r="M130" s="67" t="s">
        <v>55</v>
      </c>
      <c r="N130" s="67"/>
      <c r="O130" s="67" t="b">
        <v>1</v>
      </c>
      <c r="P130" s="67">
        <v>1</v>
      </c>
      <c r="Q130" s="67">
        <v>1</v>
      </c>
      <c r="R130" s="67">
        <v>1</v>
      </c>
      <c r="S130" s="67">
        <f>P130+Q130+R130</f>
        <v>3</v>
      </c>
      <c r="T130" s="84"/>
      <c r="U130" s="67"/>
      <c r="V130" s="67"/>
    </row>
    <row r="131" spans="1:145" ht="15" customHeight="1">
      <c r="A131" s="67">
        <v>20</v>
      </c>
      <c r="B131" s="68">
        <v>46269</v>
      </c>
      <c r="C131" s="67" t="s">
        <v>103</v>
      </c>
      <c r="D131" s="67" t="s">
        <v>104</v>
      </c>
      <c r="E131" s="67"/>
      <c r="F131" s="67" t="s">
        <v>4</v>
      </c>
      <c r="G131" s="67">
        <v>1</v>
      </c>
      <c r="H131" s="67" t="s">
        <v>105</v>
      </c>
      <c r="I131" s="67" t="s">
        <v>106</v>
      </c>
      <c r="J131" s="67">
        <v>543226</v>
      </c>
      <c r="K131" s="67">
        <v>4</v>
      </c>
      <c r="L131" s="125" t="s">
        <v>244</v>
      </c>
      <c r="M131" s="67" t="s">
        <v>110</v>
      </c>
      <c r="N131" s="67" t="b">
        <v>0</v>
      </c>
      <c r="O131" s="67" t="b">
        <v>1</v>
      </c>
      <c r="P131" s="67">
        <v>1</v>
      </c>
      <c r="Q131" s="67">
        <v>1</v>
      </c>
      <c r="R131" s="67">
        <v>1</v>
      </c>
      <c r="S131" s="67">
        <f>P131+Q131+R131</f>
        <v>3</v>
      </c>
      <c r="T131" s="84"/>
      <c r="U131" s="67"/>
      <c r="V131" s="67"/>
    </row>
    <row r="132" spans="1:145" ht="15" customHeight="1">
      <c r="A132" s="67">
        <v>21</v>
      </c>
      <c r="B132" s="68">
        <v>46269</v>
      </c>
      <c r="C132" s="67" t="s">
        <v>103</v>
      </c>
      <c r="D132" s="67" t="s">
        <v>104</v>
      </c>
      <c r="E132" s="67"/>
      <c r="F132" s="67" t="s">
        <v>4</v>
      </c>
      <c r="G132" s="67">
        <v>1</v>
      </c>
      <c r="H132" s="67" t="s">
        <v>105</v>
      </c>
      <c r="I132" s="67" t="s">
        <v>106</v>
      </c>
      <c r="J132" s="67">
        <v>543185</v>
      </c>
      <c r="K132" s="67">
        <v>7</v>
      </c>
      <c r="L132" s="125" t="s">
        <v>245</v>
      </c>
      <c r="M132" s="67" t="s">
        <v>110</v>
      </c>
      <c r="N132" s="67" t="b">
        <v>0</v>
      </c>
      <c r="O132" s="67" t="b">
        <v>1</v>
      </c>
      <c r="P132" s="67">
        <v>2</v>
      </c>
      <c r="Q132" s="67">
        <v>1</v>
      </c>
      <c r="R132" s="67">
        <v>2</v>
      </c>
      <c r="S132" s="67">
        <f>P132+Q132+R132</f>
        <v>5</v>
      </c>
      <c r="T132" s="84"/>
      <c r="U132" s="67" t="s">
        <v>152</v>
      </c>
      <c r="V132" s="67"/>
    </row>
    <row r="133" spans="1:145" ht="15" customHeight="1">
      <c r="A133" s="67">
        <v>24</v>
      </c>
      <c r="B133" s="68">
        <v>46238</v>
      </c>
      <c r="C133" s="67" t="s">
        <v>103</v>
      </c>
      <c r="D133" s="67" t="s">
        <v>104</v>
      </c>
      <c r="E133" s="67"/>
      <c r="F133" s="67" t="s">
        <v>4</v>
      </c>
      <c r="G133" s="67" t="s">
        <v>112</v>
      </c>
      <c r="H133" s="67" t="s">
        <v>105</v>
      </c>
      <c r="I133" s="67" t="s">
        <v>106</v>
      </c>
      <c r="J133" s="67">
        <v>539599</v>
      </c>
      <c r="K133" s="67">
        <v>8</v>
      </c>
      <c r="L133" s="125" t="s">
        <v>246</v>
      </c>
      <c r="M133" s="67" t="s">
        <v>55</v>
      </c>
      <c r="N133" s="67" t="b">
        <v>0</v>
      </c>
      <c r="O133" s="67" t="b">
        <v>1</v>
      </c>
      <c r="P133" s="67" t="s">
        <v>112</v>
      </c>
      <c r="Q133" s="67" t="s">
        <v>112</v>
      </c>
      <c r="R133" s="67" t="s">
        <v>112</v>
      </c>
      <c r="S133" s="67" t="e">
        <f>P133+Q133+R133</f>
        <v>#VALUE!</v>
      </c>
      <c r="T133" s="84"/>
      <c r="U133" s="67"/>
      <c r="V133" s="67"/>
    </row>
    <row r="134" spans="1:145" ht="15" customHeight="1">
      <c r="A134" s="67">
        <v>3</v>
      </c>
      <c r="B134" s="68">
        <v>9432</v>
      </c>
      <c r="C134" s="67" t="s">
        <v>103</v>
      </c>
      <c r="D134" s="67" t="s">
        <v>104</v>
      </c>
      <c r="E134" s="67"/>
      <c r="F134" s="67" t="s">
        <v>4</v>
      </c>
      <c r="G134" s="67">
        <v>1</v>
      </c>
      <c r="H134" s="67" t="s">
        <v>105</v>
      </c>
      <c r="I134" s="67" t="s">
        <v>106</v>
      </c>
      <c r="J134" s="67">
        <v>359695</v>
      </c>
      <c r="K134" s="67"/>
      <c r="L134" s="125" t="s">
        <v>247</v>
      </c>
      <c r="M134" s="67" t="s">
        <v>36</v>
      </c>
      <c r="N134" s="67" t="b">
        <v>0</v>
      </c>
      <c r="O134" s="67" t="b">
        <v>1</v>
      </c>
      <c r="P134" s="67">
        <v>1</v>
      </c>
      <c r="Q134" s="67">
        <v>1</v>
      </c>
      <c r="R134" s="67">
        <v>1</v>
      </c>
      <c r="S134" s="67">
        <f>P134+Q134+R134</f>
        <v>3</v>
      </c>
      <c r="T134" s="84"/>
      <c r="U134" s="67"/>
      <c r="V134" s="67"/>
      <c r="W134" s="18"/>
      <c r="X134" s="18"/>
      <c r="Y134" s="68"/>
      <c r="Z134" s="21"/>
      <c r="AA134" s="67"/>
      <c r="AB134" s="21"/>
      <c r="AC134" s="21"/>
      <c r="AD134" s="71"/>
      <c r="AE134" s="21"/>
      <c r="AF134" s="21"/>
      <c r="AG134" s="66"/>
      <c r="AH134" s="73"/>
      <c r="AI134" s="21"/>
      <c r="AJ134" s="22"/>
      <c r="AK134" s="22"/>
      <c r="AL134" s="20"/>
      <c r="AM134" s="73"/>
      <c r="AN134" s="73"/>
      <c r="AO134" s="73"/>
      <c r="AP134" s="20"/>
      <c r="AQ134" s="18"/>
      <c r="AR134" s="18"/>
      <c r="AS134" s="68"/>
      <c r="AT134" s="21"/>
      <c r="AU134" s="67"/>
      <c r="AV134" s="21"/>
      <c r="AW134" s="88"/>
      <c r="AX134" s="71"/>
      <c r="AY134" s="21"/>
      <c r="AZ134" s="21"/>
      <c r="BA134" s="66"/>
      <c r="BB134" s="73"/>
      <c r="BC134" s="21"/>
      <c r="BD134" s="22"/>
      <c r="BE134" s="22"/>
      <c r="BF134" s="20"/>
      <c r="BG134" s="73"/>
      <c r="BH134" s="73"/>
      <c r="BI134" s="73"/>
      <c r="BJ134" s="20"/>
      <c r="BK134" s="31"/>
      <c r="BL134" s="18"/>
      <c r="BM134" s="18"/>
      <c r="BN134" s="68"/>
      <c r="BO134" s="21"/>
      <c r="BP134" s="67"/>
      <c r="BQ134" s="21"/>
      <c r="BR134" s="21"/>
      <c r="BS134" s="71"/>
      <c r="BT134" s="21"/>
      <c r="BU134" s="21"/>
      <c r="BV134" s="66"/>
      <c r="BW134" s="73"/>
      <c r="BX134" s="21"/>
      <c r="BY134" s="22"/>
      <c r="BZ134" s="22"/>
      <c r="CA134" s="20"/>
      <c r="CB134" s="73"/>
      <c r="CC134" s="73"/>
      <c r="CD134" s="73"/>
      <c r="CE134" s="20"/>
      <c r="CF134" s="18"/>
      <c r="CG134" s="68"/>
      <c r="CH134" s="21"/>
      <c r="CI134" s="67"/>
      <c r="CJ134" s="21"/>
      <c r="CK134" s="88"/>
      <c r="CL134" s="71"/>
      <c r="CM134" s="21"/>
      <c r="CN134" s="21"/>
      <c r="CO134" s="66"/>
      <c r="CP134" s="73"/>
      <c r="CQ134" s="21"/>
      <c r="CR134" s="22"/>
      <c r="CS134" s="22"/>
      <c r="CT134" s="20"/>
      <c r="CU134" s="73"/>
      <c r="CV134" s="73"/>
      <c r="CW134" s="73"/>
      <c r="CX134" s="20"/>
      <c r="CY134" s="31"/>
      <c r="CZ134" s="18"/>
      <c r="DA134" s="18"/>
      <c r="DB134" s="68"/>
      <c r="DC134" s="21"/>
      <c r="DD134" s="67"/>
      <c r="DE134" s="21"/>
      <c r="DF134" s="21"/>
      <c r="DG134" s="71"/>
      <c r="DH134" s="21"/>
      <c r="DI134" s="21"/>
      <c r="DJ134" s="66"/>
      <c r="DK134" s="73"/>
      <c r="DL134" s="21"/>
      <c r="DM134" s="22"/>
      <c r="DN134" s="22"/>
      <c r="DO134" s="20"/>
      <c r="DP134" s="73"/>
      <c r="DQ134" s="73"/>
      <c r="DR134" s="73"/>
      <c r="DS134" s="20"/>
      <c r="DT134" s="18"/>
      <c r="DU134" s="18"/>
      <c r="DV134" s="68"/>
      <c r="DW134" s="21"/>
      <c r="DX134" s="67"/>
      <c r="DY134" s="21"/>
      <c r="DZ134" s="88"/>
      <c r="EA134" s="71"/>
      <c r="EB134" s="21"/>
      <c r="EC134" s="21"/>
      <c r="ED134" s="66"/>
      <c r="EE134" s="73"/>
      <c r="EF134" s="21"/>
      <c r="EG134" s="22"/>
      <c r="EH134" s="22"/>
      <c r="EI134" s="20"/>
      <c r="EJ134" s="73"/>
      <c r="EK134" s="73"/>
      <c r="EL134" s="73"/>
      <c r="EM134" s="20"/>
      <c r="EN134" s="31"/>
      <c r="EO134" s="18"/>
    </row>
    <row r="135" spans="1:145" ht="15" customHeight="1">
      <c r="A135" s="67">
        <v>17</v>
      </c>
      <c r="B135" s="68">
        <v>46269</v>
      </c>
      <c r="C135" s="67" t="s">
        <v>103</v>
      </c>
      <c r="D135" s="67" t="s">
        <v>104</v>
      </c>
      <c r="E135" s="67"/>
      <c r="F135" s="67" t="s">
        <v>5</v>
      </c>
      <c r="G135" s="67">
        <v>1</v>
      </c>
      <c r="H135" s="67" t="s">
        <v>105</v>
      </c>
      <c r="I135" s="67" t="s">
        <v>248</v>
      </c>
      <c r="J135" s="67">
        <v>543212</v>
      </c>
      <c r="K135" s="67" t="s">
        <v>140</v>
      </c>
      <c r="L135" s="125" t="s">
        <v>249</v>
      </c>
      <c r="M135" s="67"/>
      <c r="N135" s="67"/>
      <c r="O135" s="67" t="b">
        <v>0</v>
      </c>
      <c r="P135" s="67">
        <v>1</v>
      </c>
      <c r="Q135" s="67">
        <v>1</v>
      </c>
      <c r="R135" s="67">
        <v>1</v>
      </c>
      <c r="S135" s="67">
        <f>P135+Q135+R135</f>
        <v>3</v>
      </c>
      <c r="T135" s="84"/>
      <c r="U135" s="67"/>
      <c r="V135" s="67"/>
      <c r="W135" s="18"/>
      <c r="X135" s="18"/>
      <c r="Y135" s="68"/>
      <c r="Z135" s="21"/>
      <c r="AA135" s="67"/>
      <c r="AB135" s="21"/>
      <c r="AC135" s="21"/>
      <c r="AD135" s="71"/>
      <c r="AE135" s="21"/>
      <c r="AF135" s="21"/>
      <c r="AG135" s="66"/>
      <c r="AH135" s="73"/>
      <c r="AI135" s="21"/>
      <c r="AJ135" s="22"/>
      <c r="AK135" s="22"/>
      <c r="AL135" s="20"/>
      <c r="AM135" s="73"/>
      <c r="AN135" s="73"/>
      <c r="AO135" s="73"/>
      <c r="AP135" s="20"/>
      <c r="AQ135" s="18"/>
      <c r="AR135" s="18"/>
      <c r="AS135" s="68"/>
      <c r="AT135" s="21"/>
      <c r="AU135" s="67"/>
      <c r="AV135" s="21"/>
      <c r="AW135" s="88"/>
      <c r="AX135" s="71"/>
      <c r="AY135" s="21"/>
      <c r="AZ135" s="21"/>
      <c r="BA135" s="66"/>
      <c r="BB135" s="73"/>
      <c r="BC135" s="21"/>
      <c r="BD135" s="22"/>
      <c r="BE135" s="22"/>
      <c r="BF135" s="20"/>
      <c r="BG135" s="73"/>
      <c r="BH135" s="73"/>
      <c r="BI135" s="73"/>
      <c r="BJ135" s="20"/>
      <c r="BK135" s="31"/>
      <c r="BL135" s="18"/>
      <c r="BM135" s="18"/>
      <c r="BN135" s="68"/>
      <c r="BO135" s="21"/>
      <c r="BP135" s="67"/>
      <c r="BQ135" s="21"/>
      <c r="BR135" s="21"/>
      <c r="BS135" s="71"/>
      <c r="BT135" s="21"/>
      <c r="BU135" s="21"/>
      <c r="BV135" s="66"/>
      <c r="BW135" s="73"/>
      <c r="BX135" s="21"/>
      <c r="BY135" s="22"/>
      <c r="BZ135" s="22"/>
      <c r="CA135" s="20"/>
      <c r="CB135" s="73"/>
      <c r="CC135" s="73"/>
      <c r="CD135" s="73"/>
      <c r="CE135" s="20"/>
      <c r="CF135" s="18"/>
      <c r="CG135" s="68"/>
      <c r="CH135" s="21"/>
      <c r="CI135" s="67"/>
      <c r="CJ135" s="21"/>
      <c r="CK135" s="88"/>
      <c r="CL135" s="71"/>
      <c r="CM135" s="21"/>
      <c r="CN135" s="21"/>
      <c r="CO135" s="66"/>
      <c r="CP135" s="73"/>
      <c r="CQ135" s="21"/>
      <c r="CR135" s="22"/>
      <c r="CS135" s="22"/>
      <c r="CT135" s="20"/>
      <c r="CU135" s="73"/>
      <c r="CV135" s="73"/>
      <c r="CW135" s="73"/>
      <c r="CX135" s="20"/>
      <c r="CY135" s="31"/>
      <c r="CZ135" s="18"/>
      <c r="DA135" s="18"/>
      <c r="DB135" s="68"/>
      <c r="DC135" s="21"/>
      <c r="DD135" s="67"/>
      <c r="DE135" s="21"/>
      <c r="DF135" s="21"/>
      <c r="DG135" s="71"/>
      <c r="DH135" s="21"/>
      <c r="DI135" s="21"/>
      <c r="DJ135" s="66"/>
      <c r="DK135" s="73"/>
      <c r="DL135" s="21"/>
      <c r="DM135" s="22"/>
      <c r="DN135" s="22"/>
      <c r="DO135" s="20"/>
      <c r="DP135" s="73"/>
      <c r="DQ135" s="73"/>
      <c r="DR135" s="73"/>
      <c r="DS135" s="20"/>
      <c r="DT135" s="18"/>
      <c r="DU135" s="18"/>
      <c r="DV135" s="68"/>
      <c r="DW135" s="21"/>
      <c r="DX135" s="67"/>
      <c r="DY135" s="21"/>
      <c r="DZ135" s="88"/>
      <c r="EA135" s="71"/>
      <c r="EB135" s="21"/>
      <c r="EC135" s="21"/>
      <c r="ED135" s="66"/>
      <c r="EE135" s="73"/>
      <c r="EF135" s="21"/>
      <c r="EG135" s="22"/>
      <c r="EH135" s="22"/>
      <c r="EI135" s="20"/>
      <c r="EJ135" s="73"/>
      <c r="EK135" s="73"/>
      <c r="EL135" s="73"/>
      <c r="EM135" s="20"/>
      <c r="EN135" s="31"/>
      <c r="EO135" s="18"/>
    </row>
    <row r="136" spans="1:145" ht="15" customHeight="1">
      <c r="A136" s="67"/>
      <c r="B136" s="68">
        <v>46203</v>
      </c>
      <c r="C136" s="67" t="s">
        <v>103</v>
      </c>
      <c r="D136" s="67" t="s">
        <v>104</v>
      </c>
      <c r="E136" s="67"/>
      <c r="F136" s="67" t="s">
        <v>4</v>
      </c>
      <c r="G136" s="67">
        <v>1</v>
      </c>
      <c r="H136" s="67" t="s">
        <v>105</v>
      </c>
      <c r="I136" s="67" t="s">
        <v>106</v>
      </c>
      <c r="J136" s="67">
        <v>680444</v>
      </c>
      <c r="K136" s="67"/>
      <c r="L136" s="125" t="s">
        <v>250</v>
      </c>
      <c r="M136" s="67" t="s">
        <v>110</v>
      </c>
      <c r="N136" s="67"/>
      <c r="O136" s="67" t="b">
        <v>1</v>
      </c>
      <c r="P136" s="67"/>
      <c r="Q136" s="67"/>
      <c r="R136" s="67"/>
      <c r="S136" s="67"/>
      <c r="T136" s="84"/>
      <c r="U136" s="67"/>
      <c r="V136" s="67"/>
    </row>
    <row r="137" spans="1:145" ht="15" customHeight="1">
      <c r="A137" s="67">
        <v>2</v>
      </c>
      <c r="B137" s="68">
        <v>9362</v>
      </c>
      <c r="C137" s="67" t="s">
        <v>121</v>
      </c>
      <c r="D137" s="67" t="s">
        <v>122</v>
      </c>
      <c r="E137" s="67"/>
      <c r="F137" s="67" t="s">
        <v>251</v>
      </c>
      <c r="G137" s="67">
        <v>3</v>
      </c>
      <c r="H137" s="67" t="s">
        <v>105</v>
      </c>
      <c r="I137" s="67" t="s">
        <v>106</v>
      </c>
      <c r="J137" s="67">
        <v>329942</v>
      </c>
      <c r="K137" s="67">
        <v>11</v>
      </c>
      <c r="L137" s="125" t="s">
        <v>252</v>
      </c>
      <c r="M137" s="67" t="s">
        <v>36</v>
      </c>
      <c r="N137" s="67" t="b">
        <v>0</v>
      </c>
      <c r="O137" s="67" t="b">
        <v>1</v>
      </c>
      <c r="P137" s="67">
        <v>2</v>
      </c>
      <c r="Q137" s="67">
        <v>2</v>
      </c>
      <c r="R137" s="67">
        <v>1</v>
      </c>
      <c r="S137" s="67">
        <f>P137+Q137+R137</f>
        <v>5</v>
      </c>
      <c r="T137" s="84"/>
      <c r="U137" s="67"/>
      <c r="V137" s="67"/>
    </row>
    <row r="138" spans="1:145" ht="15" customHeight="1">
      <c r="A138" s="67">
        <v>18</v>
      </c>
      <c r="B138" s="68">
        <v>9601</v>
      </c>
      <c r="C138" s="67" t="s">
        <v>103</v>
      </c>
      <c r="D138" s="67" t="s">
        <v>104</v>
      </c>
      <c r="E138" s="67"/>
      <c r="F138" s="67" t="s">
        <v>251</v>
      </c>
      <c r="G138" s="67">
        <v>1</v>
      </c>
      <c r="H138" s="67" t="s">
        <v>105</v>
      </c>
      <c r="I138" s="67" t="s">
        <v>106</v>
      </c>
      <c r="J138" s="67">
        <v>561852</v>
      </c>
      <c r="K138" s="67">
        <v>14</v>
      </c>
      <c r="L138" s="125" t="s">
        <v>253</v>
      </c>
      <c r="M138" s="67" t="s">
        <v>110</v>
      </c>
      <c r="N138" s="67"/>
      <c r="O138" s="67" t="b">
        <v>1</v>
      </c>
      <c r="P138" s="67">
        <v>2</v>
      </c>
      <c r="Q138" s="67">
        <v>1</v>
      </c>
      <c r="R138" s="67">
        <v>2</v>
      </c>
      <c r="S138" s="67">
        <f>P138+Q138+R138</f>
        <v>5</v>
      </c>
      <c r="T138" s="84"/>
      <c r="U138" s="67"/>
      <c r="V138" s="67"/>
    </row>
    <row r="139" spans="1:145" ht="15" customHeight="1">
      <c r="A139" s="67"/>
      <c r="B139" s="68">
        <v>46203</v>
      </c>
      <c r="C139" s="67" t="s">
        <v>103</v>
      </c>
      <c r="D139" s="67" t="s">
        <v>104</v>
      </c>
      <c r="E139" s="67"/>
      <c r="F139" s="67" t="s">
        <v>254</v>
      </c>
      <c r="G139" s="67"/>
      <c r="H139" s="67" t="s">
        <v>105</v>
      </c>
      <c r="I139" s="67" t="s">
        <v>106</v>
      </c>
      <c r="J139" s="67">
        <v>679454</v>
      </c>
      <c r="K139" s="67">
        <v>0</v>
      </c>
      <c r="L139" s="125" t="s">
        <v>255</v>
      </c>
      <c r="M139" s="67" t="s">
        <v>55</v>
      </c>
      <c r="N139" s="67"/>
      <c r="O139" s="67" t="b">
        <v>1</v>
      </c>
      <c r="P139" s="67"/>
      <c r="Q139" s="67"/>
      <c r="R139" s="67"/>
      <c r="S139" s="67"/>
      <c r="T139" s="84"/>
      <c r="U139" s="67"/>
      <c r="V139" s="67"/>
    </row>
    <row r="140" spans="1:145" ht="15" customHeight="1">
      <c r="A140" s="67"/>
      <c r="B140" s="68">
        <v>46203</v>
      </c>
      <c r="C140" s="67" t="s">
        <v>103</v>
      </c>
      <c r="D140" s="67" t="s">
        <v>104</v>
      </c>
      <c r="E140" s="67"/>
      <c r="F140" s="67" t="s">
        <v>254</v>
      </c>
      <c r="G140" s="67"/>
      <c r="H140" s="67"/>
      <c r="I140" s="67"/>
      <c r="J140" s="67">
        <v>680403</v>
      </c>
      <c r="K140" s="67"/>
      <c r="L140" s="125" t="s">
        <v>256</v>
      </c>
      <c r="M140" s="67"/>
      <c r="N140" s="67" t="b">
        <v>0</v>
      </c>
      <c r="O140" s="67" t="b">
        <v>0</v>
      </c>
      <c r="P140" s="67"/>
      <c r="Q140" s="67"/>
      <c r="R140" s="67"/>
      <c r="S140" s="67"/>
      <c r="T140" s="84"/>
      <c r="U140" s="67"/>
      <c r="V140" s="67"/>
    </row>
    <row r="141" spans="1:145" ht="15" customHeight="1">
      <c r="A141" s="67">
        <v>14</v>
      </c>
      <c r="B141" s="68">
        <v>9609</v>
      </c>
      <c r="C141" s="67" t="s">
        <v>118</v>
      </c>
      <c r="D141" s="67" t="s">
        <v>104</v>
      </c>
      <c r="E141" s="67" t="s">
        <v>257</v>
      </c>
      <c r="F141" s="67" t="s">
        <v>8</v>
      </c>
      <c r="G141" s="67" t="s">
        <v>112</v>
      </c>
      <c r="H141" s="67" t="s">
        <v>115</v>
      </c>
      <c r="I141" s="67" t="s">
        <v>106</v>
      </c>
      <c r="J141" s="67">
        <v>593198</v>
      </c>
      <c r="K141" s="67" t="s">
        <v>112</v>
      </c>
      <c r="L141" s="125" t="s">
        <v>258</v>
      </c>
      <c r="M141" s="67"/>
      <c r="N141" s="67"/>
      <c r="O141" s="67"/>
      <c r="P141" s="67" t="s">
        <v>112</v>
      </c>
      <c r="Q141" s="67" t="s">
        <v>112</v>
      </c>
      <c r="R141" s="67" t="s">
        <v>112</v>
      </c>
      <c r="S141" s="67" t="e">
        <f>P141+Q141+R141</f>
        <v>#VALUE!</v>
      </c>
      <c r="T141" s="84"/>
      <c r="U141" s="67"/>
      <c r="V141" s="67"/>
    </row>
    <row r="142" spans="1:145" ht="15" customHeight="1">
      <c r="A142" s="67">
        <v>111</v>
      </c>
      <c r="B142" s="68">
        <v>46157</v>
      </c>
      <c r="C142" s="67" t="s">
        <v>103</v>
      </c>
      <c r="D142" s="67" t="s">
        <v>104</v>
      </c>
      <c r="E142" s="67"/>
      <c r="F142" s="67" t="s">
        <v>8</v>
      </c>
      <c r="G142" s="67"/>
      <c r="H142" s="67" t="s">
        <v>105</v>
      </c>
      <c r="I142" s="67" t="s">
        <v>106</v>
      </c>
      <c r="J142" s="67">
        <v>679801</v>
      </c>
      <c r="K142" s="67">
        <v>10</v>
      </c>
      <c r="L142" s="125" t="s">
        <v>259</v>
      </c>
      <c r="M142" s="67" t="s">
        <v>110</v>
      </c>
      <c r="N142" s="67"/>
      <c r="O142" s="67" t="b">
        <v>1</v>
      </c>
      <c r="P142" s="67"/>
      <c r="Q142" s="67"/>
      <c r="R142" s="67"/>
      <c r="S142" s="67">
        <f>P142+Q142+R142</f>
        <v>0</v>
      </c>
      <c r="T142" s="84"/>
      <c r="U142" s="67"/>
      <c r="V142" s="67"/>
    </row>
    <row r="143" spans="1:145" ht="15" customHeight="1">
      <c r="A143" s="67">
        <v>126</v>
      </c>
      <c r="B143" s="68">
        <v>46175</v>
      </c>
      <c r="C143" s="67" t="s">
        <v>129</v>
      </c>
      <c r="D143" s="67" t="s">
        <v>106</v>
      </c>
      <c r="E143" s="67"/>
      <c r="F143" s="67" t="s">
        <v>8</v>
      </c>
      <c r="G143" s="67"/>
      <c r="H143" s="67" t="s">
        <v>159</v>
      </c>
      <c r="I143" s="67" t="s">
        <v>106</v>
      </c>
      <c r="J143" s="67">
        <v>666964</v>
      </c>
      <c r="K143" s="67"/>
      <c r="L143" s="125" t="s">
        <v>260</v>
      </c>
      <c r="M143" s="67"/>
      <c r="N143" s="67"/>
      <c r="O143" s="67"/>
      <c r="P143" s="67"/>
      <c r="Q143" s="67"/>
      <c r="R143" s="67"/>
      <c r="S143" s="67"/>
      <c r="T143" s="84"/>
      <c r="U143" s="67"/>
      <c r="V143" s="67"/>
    </row>
    <row r="144" spans="1:145" ht="15" customHeight="1">
      <c r="A144" s="67">
        <v>129</v>
      </c>
      <c r="B144" s="68">
        <v>46183</v>
      </c>
      <c r="C144" s="67" t="s">
        <v>129</v>
      </c>
      <c r="D144" s="67" t="s">
        <v>106</v>
      </c>
      <c r="E144" s="67"/>
      <c r="F144" s="67" t="s">
        <v>8</v>
      </c>
      <c r="G144" s="67"/>
      <c r="H144" s="67" t="s">
        <v>159</v>
      </c>
      <c r="I144" s="67" t="s">
        <v>106</v>
      </c>
      <c r="J144" s="67">
        <v>669766</v>
      </c>
      <c r="K144" s="67"/>
      <c r="L144" s="125" t="s">
        <v>261</v>
      </c>
      <c r="M144" s="67" t="s">
        <v>110</v>
      </c>
      <c r="N144" s="67"/>
      <c r="O144" s="67"/>
      <c r="P144" s="67"/>
      <c r="Q144" s="67"/>
      <c r="R144" s="67"/>
      <c r="S144" s="67"/>
      <c r="T144" s="84"/>
      <c r="U144" s="67" t="s">
        <v>262</v>
      </c>
      <c r="V144" s="67" t="s">
        <v>263</v>
      </c>
    </row>
    <row r="145" spans="1:465" ht="15" customHeight="1">
      <c r="A145" s="67">
        <v>137</v>
      </c>
      <c r="B145" s="68">
        <v>46213</v>
      </c>
      <c r="C145" s="67" t="s">
        <v>131</v>
      </c>
      <c r="D145" s="67" t="s">
        <v>104</v>
      </c>
      <c r="E145" s="67"/>
      <c r="F145" s="67" t="s">
        <v>230</v>
      </c>
      <c r="G145" s="67"/>
      <c r="H145" s="67" t="s">
        <v>105</v>
      </c>
      <c r="I145" s="67" t="s">
        <v>106</v>
      </c>
      <c r="J145" s="67">
        <v>704266</v>
      </c>
      <c r="K145" s="67"/>
      <c r="L145" s="125" t="s">
        <v>264</v>
      </c>
      <c r="M145" s="67" t="s">
        <v>55</v>
      </c>
      <c r="N145" s="67"/>
      <c r="O145" s="67" t="b">
        <v>1</v>
      </c>
      <c r="P145" s="67"/>
      <c r="Q145" s="67"/>
      <c r="R145" s="67"/>
      <c r="S145" s="67"/>
      <c r="T145" s="84"/>
      <c r="U145" s="67"/>
      <c r="V145" s="67"/>
    </row>
    <row r="146" spans="1:465" ht="15" customHeight="1">
      <c r="A146" s="67">
        <v>134</v>
      </c>
      <c r="B146" s="68">
        <v>46209</v>
      </c>
      <c r="C146" s="67" t="s">
        <v>131</v>
      </c>
      <c r="D146" s="67" t="s">
        <v>104</v>
      </c>
      <c r="E146" s="67"/>
      <c r="F146" s="67" t="s">
        <v>265</v>
      </c>
      <c r="G146" s="67"/>
      <c r="H146" s="67" t="s">
        <v>105</v>
      </c>
      <c r="I146" s="67" t="s">
        <v>266</v>
      </c>
      <c r="J146" s="67">
        <v>704213</v>
      </c>
      <c r="K146" s="67"/>
      <c r="L146" s="125" t="s">
        <v>267</v>
      </c>
      <c r="M146" s="67" t="s">
        <v>36</v>
      </c>
      <c r="N146" s="67"/>
      <c r="O146" s="67"/>
      <c r="P146" s="67"/>
      <c r="Q146" s="67"/>
      <c r="R146" s="67"/>
      <c r="S146" s="67"/>
      <c r="T146" s="84"/>
      <c r="U146" s="67"/>
      <c r="V146" s="67"/>
    </row>
    <row r="147" spans="1:465" ht="15" customHeight="1">
      <c r="A147" s="67">
        <v>136</v>
      </c>
      <c r="B147" s="68">
        <v>46213</v>
      </c>
      <c r="C147" s="67" t="s">
        <v>131</v>
      </c>
      <c r="D147" s="67" t="s">
        <v>104</v>
      </c>
      <c r="E147" s="67"/>
      <c r="F147" s="67" t="s">
        <v>230</v>
      </c>
      <c r="G147" s="67"/>
      <c r="H147" s="67" t="s">
        <v>105</v>
      </c>
      <c r="I147" s="67" t="s">
        <v>106</v>
      </c>
      <c r="J147" s="67">
        <v>704245</v>
      </c>
      <c r="K147" s="67"/>
      <c r="L147" s="125" t="s">
        <v>268</v>
      </c>
      <c r="M147" s="67" t="s">
        <v>110</v>
      </c>
      <c r="N147" s="67"/>
      <c r="O147" s="67" t="b">
        <v>1</v>
      </c>
      <c r="P147" s="67"/>
      <c r="Q147" s="67"/>
      <c r="R147" s="67"/>
      <c r="S147" s="67"/>
      <c r="T147" s="84"/>
      <c r="U147" s="67"/>
      <c r="V147" s="67"/>
    </row>
    <row r="148" spans="1:465" ht="15" customHeight="1">
      <c r="A148" s="67">
        <v>139</v>
      </c>
      <c r="B148" s="68">
        <v>46223</v>
      </c>
      <c r="C148" s="67" t="s">
        <v>131</v>
      </c>
      <c r="D148" s="67" t="s">
        <v>104</v>
      </c>
      <c r="E148" s="67"/>
      <c r="F148" s="67" t="s">
        <v>269</v>
      </c>
      <c r="G148" s="67"/>
      <c r="H148" s="67" t="s">
        <v>105</v>
      </c>
      <c r="I148" s="67" t="s">
        <v>106</v>
      </c>
      <c r="J148" s="67"/>
      <c r="K148" s="67"/>
      <c r="L148" s="125" t="s">
        <v>270</v>
      </c>
      <c r="M148" s="67"/>
      <c r="N148" s="67"/>
      <c r="O148" s="67"/>
      <c r="P148" s="67"/>
      <c r="Q148" s="67"/>
      <c r="R148" s="67"/>
      <c r="S148" s="67"/>
      <c r="T148" s="84"/>
      <c r="U148" s="67"/>
      <c r="V148" s="67"/>
    </row>
    <row r="149" spans="1:465" ht="15" customHeight="1">
      <c r="A149" s="67">
        <v>142</v>
      </c>
      <c r="B149" s="68">
        <v>46230</v>
      </c>
      <c r="C149" s="67" t="s">
        <v>131</v>
      </c>
      <c r="D149" s="67" t="s">
        <v>106</v>
      </c>
      <c r="E149" s="67"/>
      <c r="F149" s="67" t="s">
        <v>269</v>
      </c>
      <c r="G149" s="67"/>
      <c r="H149" s="67" t="s">
        <v>105</v>
      </c>
      <c r="I149" s="67" t="s">
        <v>271</v>
      </c>
      <c r="J149" s="67"/>
      <c r="K149" s="67"/>
      <c r="L149" s="125" t="s">
        <v>272</v>
      </c>
      <c r="M149" s="67"/>
      <c r="N149" s="67"/>
      <c r="O149" s="67" t="b">
        <v>0</v>
      </c>
      <c r="P149" s="67"/>
      <c r="Q149" s="67"/>
      <c r="R149" s="67"/>
      <c r="S149" s="67"/>
      <c r="T149" s="84"/>
      <c r="U149" s="67"/>
      <c r="V149" s="67"/>
    </row>
    <row r="150" spans="1:465" ht="15" customHeight="1">
      <c r="A150" s="67">
        <v>143</v>
      </c>
      <c r="B150" s="68">
        <v>46230</v>
      </c>
      <c r="C150" s="67" t="s">
        <v>131</v>
      </c>
      <c r="D150" s="67" t="s">
        <v>106</v>
      </c>
      <c r="E150" s="67"/>
      <c r="F150" s="67" t="s">
        <v>4</v>
      </c>
      <c r="G150" s="67"/>
      <c r="H150" s="67" t="s">
        <v>105</v>
      </c>
      <c r="I150" s="67" t="s">
        <v>271</v>
      </c>
      <c r="J150" s="67">
        <v>539599</v>
      </c>
      <c r="K150" s="67">
        <v>5</v>
      </c>
      <c r="L150" s="125" t="s">
        <v>273</v>
      </c>
      <c r="M150" s="67" t="s">
        <v>55</v>
      </c>
      <c r="N150" s="67"/>
      <c r="O150" s="67"/>
      <c r="P150" s="67"/>
      <c r="Q150" s="67"/>
      <c r="R150" s="67"/>
      <c r="S150" s="67"/>
      <c r="T150" s="84"/>
      <c r="U150" s="67" t="s">
        <v>274</v>
      </c>
      <c r="V150" s="67"/>
    </row>
    <row r="151" spans="1:465" ht="15" customHeight="1">
      <c r="A151" s="67">
        <v>146</v>
      </c>
      <c r="B151" s="68">
        <v>46240</v>
      </c>
      <c r="C151" s="67" t="s">
        <v>131</v>
      </c>
      <c r="D151" s="67" t="s">
        <v>106</v>
      </c>
      <c r="E151" s="67"/>
      <c r="F151" s="67" t="s">
        <v>230</v>
      </c>
      <c r="G151" s="67"/>
      <c r="H151" s="67" t="s">
        <v>105</v>
      </c>
      <c r="I151" s="67" t="s">
        <v>271</v>
      </c>
      <c r="J151" s="67">
        <v>712472</v>
      </c>
      <c r="K151" s="67"/>
      <c r="L151" s="125" t="s">
        <v>275</v>
      </c>
      <c r="M151" s="67"/>
      <c r="N151" s="67"/>
      <c r="O151" s="67" t="b">
        <v>1</v>
      </c>
      <c r="P151" s="67"/>
      <c r="Q151" s="67"/>
      <c r="R151" s="67"/>
      <c r="S151" s="67"/>
      <c r="T151" s="84"/>
      <c r="U151" s="67"/>
      <c r="V151" s="67"/>
    </row>
    <row r="152" spans="1:465" ht="15" customHeight="1">
      <c r="A152" s="67">
        <v>147</v>
      </c>
      <c r="B152" s="68">
        <v>46240</v>
      </c>
      <c r="C152" s="67" t="s">
        <v>131</v>
      </c>
      <c r="D152" s="67" t="s">
        <v>106</v>
      </c>
      <c r="E152" s="67"/>
      <c r="F152" s="67" t="s">
        <v>4</v>
      </c>
      <c r="G152" s="67"/>
      <c r="H152" s="67" t="s">
        <v>105</v>
      </c>
      <c r="I152" s="67" t="s">
        <v>271</v>
      </c>
      <c r="J152" s="67">
        <v>711716</v>
      </c>
      <c r="K152" s="67">
        <v>1</v>
      </c>
      <c r="L152" s="125" t="s">
        <v>276</v>
      </c>
      <c r="M152" s="67" t="s">
        <v>110</v>
      </c>
      <c r="N152" s="67"/>
      <c r="O152" s="67" t="b">
        <v>1</v>
      </c>
      <c r="P152" s="67">
        <v>1</v>
      </c>
      <c r="Q152" s="67">
        <v>1</v>
      </c>
      <c r="R152" s="67">
        <v>1</v>
      </c>
      <c r="S152" s="67"/>
      <c r="T152" s="84"/>
      <c r="U152" s="67"/>
      <c r="V152" s="67"/>
    </row>
    <row r="153" spans="1:465" s="87" customFormat="1" ht="15" customHeight="1">
      <c r="A153" s="67">
        <v>148</v>
      </c>
      <c r="B153" s="68">
        <v>46240</v>
      </c>
      <c r="C153" s="67" t="s">
        <v>131</v>
      </c>
      <c r="D153" s="67" t="s">
        <v>106</v>
      </c>
      <c r="E153" s="67"/>
      <c r="F153" s="67" t="s">
        <v>136</v>
      </c>
      <c r="G153" s="67"/>
      <c r="H153" s="67" t="s">
        <v>105</v>
      </c>
      <c r="I153" s="67" t="s">
        <v>271</v>
      </c>
      <c r="J153" s="67">
        <v>711788</v>
      </c>
      <c r="K153" s="67">
        <v>2</v>
      </c>
      <c r="L153" s="125" t="s">
        <v>277</v>
      </c>
      <c r="M153" s="67" t="s">
        <v>110</v>
      </c>
      <c r="N153" s="67"/>
      <c r="O153" s="67" t="b">
        <v>1</v>
      </c>
      <c r="P153" s="67">
        <v>2</v>
      </c>
      <c r="Q153" s="67">
        <v>2</v>
      </c>
      <c r="R153" s="67">
        <v>2</v>
      </c>
      <c r="S153" s="67"/>
      <c r="T153" s="84"/>
      <c r="U153" s="67" t="s">
        <v>278</v>
      </c>
      <c r="V153" s="67"/>
      <c r="W153" s="101"/>
      <c r="X153" s="100"/>
      <c r="Y153" s="102"/>
      <c r="Z153" s="103"/>
      <c r="AA153" s="107"/>
      <c r="AB153" s="108"/>
      <c r="AC153" s="103"/>
      <c r="AD153" s="100"/>
      <c r="AE153" s="86"/>
      <c r="AF153" s="109"/>
      <c r="AG153" s="104"/>
      <c r="AH153" s="100"/>
      <c r="AI153" s="105"/>
      <c r="AJ153" s="105"/>
      <c r="AK153" s="106"/>
      <c r="AL153" s="106"/>
      <c r="AM153" s="106"/>
      <c r="AN153" s="86"/>
      <c r="AO153" s="100"/>
      <c r="AP153" s="100"/>
      <c r="AQ153" s="93"/>
      <c r="AR153" s="93"/>
      <c r="AS153" s="101"/>
      <c r="AT153" s="100"/>
      <c r="AU153" s="102"/>
      <c r="AV153" s="103"/>
      <c r="AW153" s="107"/>
      <c r="AX153" s="108"/>
      <c r="AY153" s="103"/>
      <c r="AZ153" s="100"/>
      <c r="BA153" s="86"/>
      <c r="BB153" s="109"/>
      <c r="BC153" s="104"/>
      <c r="BD153" s="100"/>
      <c r="BE153" s="105"/>
      <c r="BF153" s="105"/>
      <c r="BG153" s="106"/>
      <c r="BH153" s="106"/>
      <c r="BI153" s="106"/>
      <c r="BJ153" s="86"/>
      <c r="BK153" s="100"/>
      <c r="BL153" s="100"/>
      <c r="BM153" s="93"/>
      <c r="BN153" s="93"/>
      <c r="BO153" s="101"/>
      <c r="BP153" s="100"/>
      <c r="BQ153" s="102"/>
      <c r="BR153" s="103"/>
      <c r="BS153" s="107"/>
      <c r="BT153" s="108"/>
      <c r="BU153" s="103"/>
      <c r="BV153" s="100"/>
      <c r="BW153" s="86"/>
      <c r="BX153" s="109"/>
      <c r="BY153" s="104"/>
      <c r="BZ153" s="100"/>
      <c r="CA153" s="105"/>
      <c r="CB153" s="105"/>
      <c r="CC153" s="106"/>
      <c r="CD153" s="106"/>
      <c r="CE153" s="106"/>
      <c r="CF153" s="86"/>
      <c r="CG153" s="100"/>
      <c r="CH153" s="100"/>
      <c r="CI153" s="93"/>
      <c r="CJ153" s="93"/>
      <c r="CK153" s="101"/>
      <c r="CL153" s="100"/>
      <c r="CM153" s="102"/>
      <c r="CN153" s="103"/>
      <c r="CO153" s="107"/>
      <c r="CP153" s="108"/>
      <c r="CQ153" s="103"/>
      <c r="CR153" s="100"/>
      <c r="CS153" s="86"/>
      <c r="CT153" s="109"/>
      <c r="CU153" s="104"/>
      <c r="CV153" s="100"/>
      <c r="CW153" s="105"/>
      <c r="CX153" s="105"/>
      <c r="CY153" s="106"/>
      <c r="CZ153" s="106"/>
      <c r="DA153" s="106"/>
      <c r="DB153" s="86"/>
      <c r="DC153" s="100"/>
      <c r="DD153" s="100"/>
      <c r="DE153" s="93"/>
      <c r="DF153" s="93"/>
      <c r="DG153" s="101"/>
      <c r="DH153" s="100"/>
      <c r="DI153" s="102"/>
      <c r="DJ153" s="103"/>
      <c r="DK153" s="107"/>
      <c r="DL153" s="108"/>
      <c r="DM153" s="103"/>
      <c r="DN153" s="100"/>
      <c r="DO153" s="86"/>
      <c r="DP153" s="109"/>
      <c r="DQ153" s="104"/>
      <c r="DR153" s="100"/>
      <c r="DS153" s="105"/>
      <c r="DT153" s="105"/>
      <c r="DU153" s="106"/>
      <c r="DV153" s="106"/>
      <c r="DW153" s="106"/>
      <c r="DX153" s="86"/>
      <c r="DY153" s="100"/>
      <c r="DZ153" s="100"/>
      <c r="EA153" s="93"/>
      <c r="EB153" s="93"/>
      <c r="EC153" s="101"/>
      <c r="ED153" s="100"/>
      <c r="EE153" s="102"/>
      <c r="EF153" s="103"/>
      <c r="EG153" s="107"/>
      <c r="EH153" s="108"/>
      <c r="EI153" s="103"/>
      <c r="EJ153" s="100"/>
      <c r="EK153" s="86"/>
      <c r="EL153" s="109"/>
      <c r="EM153" s="104"/>
      <c r="EN153" s="100"/>
      <c r="EO153" s="105"/>
    </row>
    <row r="154" spans="1:465" ht="15" customHeight="1">
      <c r="A154" s="67">
        <v>149</v>
      </c>
      <c r="B154" s="68">
        <v>46240</v>
      </c>
      <c r="C154" s="67" t="s">
        <v>131</v>
      </c>
      <c r="D154" s="67" t="s">
        <v>106</v>
      </c>
      <c r="E154" s="67"/>
      <c r="F154" s="67" t="s">
        <v>254</v>
      </c>
      <c r="G154" s="67"/>
      <c r="H154" s="67" t="s">
        <v>105</v>
      </c>
      <c r="I154" s="67" t="s">
        <v>271</v>
      </c>
      <c r="J154" s="67">
        <v>712097</v>
      </c>
      <c r="K154" s="67">
        <v>6</v>
      </c>
      <c r="L154" s="125" t="s">
        <v>279</v>
      </c>
      <c r="M154" s="67" t="s">
        <v>55</v>
      </c>
      <c r="N154" s="67"/>
      <c r="O154" s="67" t="b">
        <v>1</v>
      </c>
      <c r="P154" s="67">
        <v>3</v>
      </c>
      <c r="Q154" s="67"/>
      <c r="R154" s="67"/>
      <c r="S154" s="67"/>
      <c r="T154" s="84"/>
      <c r="U154" s="67"/>
      <c r="V154" s="67"/>
      <c r="W154" s="21"/>
      <c r="X154" s="67"/>
      <c r="Y154" s="90"/>
      <c r="Z154" s="94"/>
      <c r="AA154" s="95"/>
      <c r="AB154" s="90"/>
      <c r="AC154" s="21"/>
      <c r="AD154" s="20"/>
      <c r="AE154" s="96"/>
      <c r="AF154" s="66"/>
      <c r="AG154" s="21"/>
      <c r="AH154" s="22"/>
      <c r="AI154" s="22"/>
      <c r="AJ154" s="97"/>
      <c r="AK154" s="97"/>
      <c r="AL154" s="97"/>
      <c r="AM154" s="20"/>
      <c r="AN154" s="21"/>
      <c r="AO154" s="21"/>
      <c r="AP154" s="18"/>
      <c r="AQ154" s="18"/>
      <c r="AR154" s="68"/>
      <c r="AS154" s="21"/>
      <c r="AT154" s="67"/>
      <c r="AU154" s="90"/>
      <c r="AV154" s="94"/>
      <c r="AW154" s="95"/>
      <c r="AX154" s="90"/>
      <c r="AY154" s="21"/>
      <c r="AZ154" s="20"/>
      <c r="BA154" s="96"/>
      <c r="BB154" s="66"/>
      <c r="BC154" s="21"/>
      <c r="BD154" s="22"/>
      <c r="BE154" s="22"/>
      <c r="BF154" s="97"/>
      <c r="BG154" s="97"/>
      <c r="BH154" s="97"/>
      <c r="BI154" s="20"/>
      <c r="BJ154" s="21"/>
      <c r="BK154" s="21"/>
      <c r="BL154" s="18"/>
      <c r="BM154" s="18"/>
      <c r="BN154" s="68"/>
      <c r="BO154" s="21"/>
      <c r="BP154" s="67"/>
      <c r="BQ154" s="90"/>
      <c r="BR154" s="94"/>
      <c r="BS154" s="95"/>
      <c r="BT154" s="90"/>
      <c r="BU154" s="21"/>
      <c r="BV154" s="20"/>
      <c r="BW154" s="96"/>
      <c r="BX154" s="66"/>
      <c r="BY154" s="21"/>
      <c r="BZ154" s="22"/>
      <c r="CA154" s="22"/>
      <c r="CB154" s="97"/>
      <c r="CC154" s="97"/>
      <c r="CD154" s="97"/>
      <c r="CE154" s="20"/>
      <c r="CF154" s="21"/>
      <c r="CG154" s="21"/>
      <c r="CH154" s="18"/>
      <c r="CI154" s="18"/>
      <c r="CJ154" s="68"/>
      <c r="CK154" s="21"/>
      <c r="CL154" s="67"/>
      <c r="CM154" s="90"/>
      <c r="CN154" s="94"/>
      <c r="CO154" s="95"/>
      <c r="CP154" s="90"/>
      <c r="CQ154" s="21"/>
      <c r="CR154" s="20"/>
      <c r="CS154" s="96"/>
      <c r="CT154" s="66"/>
      <c r="CU154" s="21"/>
      <c r="CV154" s="22"/>
      <c r="CW154" s="22"/>
      <c r="CX154" s="97"/>
      <c r="CY154" s="97"/>
      <c r="CZ154" s="97"/>
      <c r="DA154" s="20"/>
      <c r="DB154" s="21"/>
      <c r="DC154" s="21"/>
      <c r="DD154" s="18"/>
      <c r="DE154" s="18"/>
      <c r="DF154" s="68"/>
      <c r="DG154" s="21"/>
      <c r="DH154" s="67"/>
      <c r="DI154" s="90"/>
      <c r="DJ154" s="94"/>
      <c r="DK154" s="95"/>
      <c r="DL154" s="90"/>
      <c r="DM154" s="21"/>
      <c r="DN154" s="20"/>
      <c r="DO154" s="96"/>
      <c r="DP154" s="66"/>
      <c r="DQ154" s="21"/>
      <c r="DR154" s="22"/>
      <c r="DS154" s="22"/>
      <c r="DT154" s="97"/>
      <c r="DU154" s="97"/>
      <c r="DV154" s="97"/>
      <c r="DW154" s="20"/>
      <c r="DX154" s="21"/>
      <c r="DY154" s="21"/>
      <c r="DZ154" s="18"/>
      <c r="EA154" s="18"/>
      <c r="EB154" s="68"/>
      <c r="EC154" s="21"/>
      <c r="ED154" s="67"/>
      <c r="EE154" s="90"/>
      <c r="EF154" s="94"/>
      <c r="EG154" s="95"/>
      <c r="EH154" s="90"/>
      <c r="EI154" s="21"/>
      <c r="EJ154" s="20"/>
      <c r="EK154" s="96"/>
      <c r="EL154" s="66"/>
      <c r="EM154" s="21"/>
      <c r="EN154" s="22"/>
      <c r="EO154" s="18"/>
      <c r="EP154" s="68"/>
      <c r="EQ154" s="21"/>
      <c r="ER154" s="67"/>
      <c r="ES154" s="90"/>
      <c r="ET154" s="21"/>
      <c r="EU154" s="95"/>
      <c r="EV154" s="90"/>
      <c r="EW154" s="21"/>
      <c r="EX154" s="20"/>
      <c r="EY154" s="96"/>
      <c r="EZ154" s="66"/>
      <c r="FA154" s="21"/>
      <c r="FB154" s="22"/>
      <c r="FC154" s="22"/>
      <c r="FD154" s="97"/>
      <c r="FE154" s="97"/>
      <c r="FF154" s="97"/>
      <c r="FG154" s="20"/>
      <c r="FH154" s="21"/>
      <c r="FI154" s="18"/>
      <c r="FJ154" s="18"/>
      <c r="FK154" s="68"/>
      <c r="FL154" s="21"/>
      <c r="FM154" s="67"/>
      <c r="FN154" s="90"/>
      <c r="FO154" s="94"/>
      <c r="FP154" s="95"/>
      <c r="FQ154" s="90"/>
      <c r="FR154" s="21"/>
      <c r="FS154" s="20"/>
      <c r="FT154" s="96"/>
      <c r="FU154" s="66"/>
      <c r="FV154" s="21"/>
      <c r="FW154" s="22"/>
      <c r="FX154" s="22"/>
      <c r="FY154" s="97"/>
      <c r="FZ154" s="97"/>
      <c r="GA154" s="97"/>
      <c r="GB154" s="20"/>
      <c r="GC154" s="21"/>
      <c r="GD154" s="21"/>
      <c r="GE154" s="18"/>
      <c r="GF154" s="18"/>
      <c r="GG154" s="68"/>
      <c r="GH154" s="21"/>
      <c r="GI154" s="67"/>
      <c r="GJ154" s="90"/>
      <c r="GK154" s="94"/>
      <c r="GL154" s="95"/>
      <c r="GM154" s="90"/>
      <c r="GN154" s="21"/>
      <c r="GO154" s="20"/>
      <c r="GP154" s="96"/>
      <c r="GQ154" s="66"/>
      <c r="GR154" s="21"/>
      <c r="GS154" s="22"/>
      <c r="GT154" s="22"/>
      <c r="GU154" s="97"/>
      <c r="GV154" s="97"/>
      <c r="GW154" s="97"/>
      <c r="GX154" s="20"/>
      <c r="GY154" s="21"/>
      <c r="GZ154" s="21"/>
      <c r="HA154" s="18"/>
      <c r="HB154" s="18"/>
      <c r="HC154" s="68"/>
      <c r="HD154" s="21"/>
      <c r="HE154" s="67"/>
      <c r="HF154" s="90"/>
      <c r="HG154" s="94"/>
      <c r="HH154" s="95"/>
      <c r="HI154" s="90"/>
      <c r="HJ154" s="21"/>
      <c r="HK154" s="20"/>
      <c r="HL154" s="96"/>
      <c r="HM154" s="66"/>
      <c r="HN154" s="21"/>
      <c r="HO154" s="22"/>
      <c r="HP154" s="22"/>
      <c r="HQ154" s="97"/>
      <c r="HR154" s="97"/>
      <c r="HS154" s="97"/>
      <c r="HT154" s="20"/>
      <c r="HU154" s="21"/>
      <c r="HV154" s="21"/>
      <c r="HW154" s="18"/>
      <c r="HX154" s="18"/>
      <c r="HY154" s="68"/>
      <c r="HZ154" s="21"/>
      <c r="IA154" s="67"/>
      <c r="IB154" s="90"/>
      <c r="IC154" s="94"/>
      <c r="ID154" s="95"/>
      <c r="IE154" s="90"/>
      <c r="IF154" s="21"/>
      <c r="IG154" s="20"/>
      <c r="IH154" s="96"/>
      <c r="II154" s="66"/>
      <c r="IJ154" s="21"/>
      <c r="IK154" s="22"/>
      <c r="IL154" s="22"/>
      <c r="IM154" s="97"/>
      <c r="IN154" s="97"/>
      <c r="IO154" s="97"/>
      <c r="IP154" s="20"/>
      <c r="IQ154" s="21"/>
      <c r="IR154" s="21"/>
      <c r="IS154" s="18"/>
      <c r="IT154" s="18"/>
      <c r="IU154" s="68"/>
      <c r="IV154" s="21"/>
      <c r="IW154" s="67"/>
      <c r="IX154" s="90"/>
      <c r="IY154" s="94"/>
      <c r="IZ154" s="95"/>
      <c r="JA154" s="90"/>
      <c r="JB154" s="21"/>
      <c r="JC154" s="20"/>
      <c r="JD154" s="96"/>
      <c r="JE154" s="66"/>
      <c r="JF154" s="21"/>
      <c r="JG154" s="22"/>
      <c r="JH154" s="22"/>
      <c r="JI154" s="97"/>
      <c r="JJ154" s="97"/>
      <c r="JK154" s="97"/>
      <c r="JL154" s="20"/>
      <c r="JM154" s="21"/>
      <c r="JN154" s="21"/>
      <c r="JO154" s="18"/>
      <c r="JP154" s="18"/>
      <c r="JQ154" s="68"/>
      <c r="JR154" s="21"/>
      <c r="JS154" s="67"/>
      <c r="JT154" s="90"/>
      <c r="JU154" s="94"/>
      <c r="JV154" s="95"/>
      <c r="JW154" s="90"/>
      <c r="JX154" s="21"/>
      <c r="JY154" s="20"/>
      <c r="JZ154" s="96"/>
      <c r="KA154" s="66"/>
      <c r="KB154" s="21"/>
      <c r="KC154" s="22"/>
      <c r="KD154" s="22"/>
      <c r="KE154" s="97"/>
      <c r="KF154" s="97"/>
      <c r="KG154" s="97"/>
      <c r="KH154" s="20"/>
      <c r="KI154" s="21"/>
      <c r="KJ154" s="21"/>
      <c r="KK154" s="18"/>
      <c r="KL154" s="18"/>
      <c r="KM154" s="68"/>
      <c r="KN154" s="21"/>
      <c r="KO154" s="67"/>
      <c r="KP154" s="90"/>
      <c r="KQ154" s="94"/>
      <c r="KR154" s="95"/>
      <c r="KS154" s="90"/>
      <c r="KT154" s="21"/>
      <c r="KU154" s="20"/>
      <c r="KV154" s="96"/>
      <c r="KW154" s="66"/>
      <c r="KX154" s="21"/>
      <c r="KY154" s="22"/>
      <c r="KZ154" s="22"/>
      <c r="LA154" s="97"/>
      <c r="LB154" s="97"/>
      <c r="LC154" s="97"/>
      <c r="LD154" s="20"/>
      <c r="LE154" s="21"/>
      <c r="LF154" s="21"/>
      <c r="LG154" s="18"/>
      <c r="LH154" s="18"/>
      <c r="LI154" s="68"/>
      <c r="LJ154" s="21"/>
      <c r="LK154" s="67"/>
      <c r="LL154" s="90"/>
      <c r="LM154" s="94"/>
      <c r="LN154" s="95"/>
      <c r="LO154" s="90"/>
      <c r="LP154" s="21"/>
      <c r="LQ154" s="20"/>
      <c r="LR154" s="96"/>
      <c r="LS154" s="66"/>
      <c r="LT154" s="21"/>
      <c r="LU154" s="22"/>
      <c r="LV154" s="22"/>
      <c r="LW154" s="97"/>
      <c r="LX154" s="97"/>
      <c r="LY154" s="97"/>
      <c r="LZ154" s="20"/>
      <c r="MA154" s="21"/>
      <c r="MB154" s="21"/>
      <c r="MC154" s="18"/>
      <c r="MD154" s="18"/>
      <c r="ME154" s="68"/>
      <c r="MF154" s="21"/>
      <c r="MG154" s="67"/>
      <c r="MH154" s="90"/>
      <c r="MI154" s="94"/>
      <c r="MJ154" s="95"/>
      <c r="MK154" s="90"/>
      <c r="ML154" s="21"/>
      <c r="MM154" s="20"/>
      <c r="MN154" s="96"/>
      <c r="MO154" s="66"/>
      <c r="MP154" s="21"/>
      <c r="MQ154" s="22"/>
      <c r="MR154" s="22"/>
      <c r="MS154" s="97"/>
      <c r="MT154" s="97"/>
      <c r="MU154" s="97"/>
      <c r="MV154" s="20"/>
      <c r="MW154" s="21"/>
      <c r="MX154" s="21"/>
      <c r="MY154" s="18"/>
      <c r="MZ154" s="18"/>
      <c r="NA154" s="68"/>
      <c r="NB154" s="21"/>
      <c r="NC154" s="67"/>
      <c r="ND154" s="90"/>
      <c r="NE154" s="94"/>
      <c r="NF154" s="95"/>
      <c r="NG154" s="90"/>
      <c r="NH154" s="21"/>
      <c r="NI154" s="20"/>
      <c r="NJ154" s="96"/>
      <c r="NK154" s="66"/>
      <c r="NL154" s="21"/>
      <c r="NM154" s="22"/>
      <c r="NN154" s="22"/>
      <c r="NO154" s="97"/>
      <c r="NP154" s="97"/>
      <c r="NQ154" s="97"/>
      <c r="NR154" s="20"/>
      <c r="NS154" s="21"/>
      <c r="NT154" s="21"/>
      <c r="NU154" s="18"/>
      <c r="NV154" s="18"/>
      <c r="NW154" s="68"/>
      <c r="NX154" s="21"/>
      <c r="NY154" s="67"/>
      <c r="NZ154" s="90"/>
      <c r="OA154" s="94"/>
      <c r="OB154" s="95"/>
      <c r="OC154" s="90"/>
      <c r="OD154" s="21"/>
      <c r="OE154" s="20"/>
      <c r="OF154" s="96"/>
      <c r="OG154" s="66"/>
      <c r="OH154" s="21"/>
      <c r="OI154" s="22"/>
      <c r="OJ154" s="22"/>
      <c r="OK154" s="97"/>
      <c r="OL154" s="97"/>
      <c r="OM154" s="97"/>
      <c r="ON154" s="20"/>
      <c r="OO154" s="21"/>
      <c r="OP154" s="21"/>
      <c r="OQ154" s="18"/>
      <c r="OR154" s="18"/>
      <c r="OS154" s="68"/>
      <c r="OT154" s="21"/>
      <c r="OU154" s="67"/>
      <c r="OV154" s="90"/>
      <c r="OW154" s="94"/>
      <c r="OX154" s="95"/>
      <c r="OY154" s="90"/>
      <c r="OZ154" s="21"/>
      <c r="PA154" s="20"/>
      <c r="PB154" s="96"/>
      <c r="PC154" s="66"/>
      <c r="PD154" s="21"/>
      <c r="PE154" s="22"/>
      <c r="PF154" s="22"/>
      <c r="PG154" s="97"/>
      <c r="PH154" s="97"/>
      <c r="PI154" s="97"/>
      <c r="PJ154" s="20"/>
      <c r="PK154" s="21"/>
      <c r="PL154" s="21"/>
      <c r="PM154" s="18"/>
      <c r="PN154" s="18"/>
      <c r="PO154" s="68"/>
      <c r="PP154" s="21"/>
      <c r="PQ154" s="67"/>
      <c r="PR154" s="90"/>
      <c r="PS154" s="94"/>
      <c r="PT154" s="95"/>
      <c r="PU154" s="90"/>
      <c r="PV154" s="21"/>
      <c r="PW154" s="20"/>
      <c r="PX154" s="96"/>
      <c r="PY154" s="66"/>
      <c r="PZ154" s="21"/>
      <c r="QA154" s="22"/>
      <c r="QB154" s="22"/>
      <c r="QC154" s="97"/>
      <c r="QD154" s="97"/>
      <c r="QE154" s="97"/>
      <c r="QF154" s="20"/>
      <c r="QG154" s="21"/>
      <c r="QH154" s="21"/>
      <c r="QI154" s="18"/>
      <c r="QJ154" s="18"/>
      <c r="QK154" s="68"/>
      <c r="QL154" s="21"/>
      <c r="QM154" s="67"/>
      <c r="QN154" s="90"/>
      <c r="QO154" s="94"/>
      <c r="QP154" s="95"/>
      <c r="QQ154" s="90"/>
      <c r="QR154" s="21"/>
      <c r="QS154" s="20"/>
      <c r="QT154" s="96"/>
      <c r="QU154" s="66"/>
      <c r="QV154" s="21"/>
      <c r="QW154" s="22"/>
    </row>
    <row r="155" spans="1:465" ht="15" customHeight="1">
      <c r="A155" s="67">
        <v>150</v>
      </c>
      <c r="B155" s="68">
        <v>46240</v>
      </c>
      <c r="C155" s="67" t="s">
        <v>131</v>
      </c>
      <c r="D155" s="67" t="s">
        <v>106</v>
      </c>
      <c r="E155" s="67"/>
      <c r="F155" s="67" t="s">
        <v>269</v>
      </c>
      <c r="G155" s="67"/>
      <c r="H155" s="67" t="s">
        <v>105</v>
      </c>
      <c r="I155" s="67" t="s">
        <v>134</v>
      </c>
      <c r="J155" s="67"/>
      <c r="K155" s="67"/>
      <c r="L155" s="125" t="s">
        <v>280</v>
      </c>
      <c r="M155" s="67"/>
      <c r="N155" s="67"/>
      <c r="O155" s="67"/>
      <c r="P155" s="67"/>
      <c r="Q155" s="67"/>
      <c r="R155" s="67"/>
      <c r="S155" s="67"/>
      <c r="T155" s="84"/>
      <c r="U155" s="67"/>
      <c r="V155" s="67"/>
      <c r="W155" s="21"/>
      <c r="X155" s="67"/>
      <c r="Y155" s="90"/>
      <c r="Z155" s="94"/>
      <c r="AA155" s="95"/>
      <c r="AB155" s="90"/>
      <c r="AC155" s="21"/>
      <c r="AD155" s="20"/>
      <c r="AE155" s="96"/>
      <c r="AF155" s="66"/>
      <c r="AG155" s="21"/>
      <c r="AH155" s="22"/>
      <c r="AI155" s="22"/>
      <c r="AJ155" s="97"/>
      <c r="AK155" s="97"/>
      <c r="AL155" s="97"/>
      <c r="AM155" s="20"/>
      <c r="AN155" s="21"/>
      <c r="AO155" s="21"/>
      <c r="AP155" s="18"/>
      <c r="AQ155" s="18"/>
      <c r="AR155" s="68"/>
      <c r="AS155" s="21"/>
      <c r="AT155" s="67"/>
      <c r="AU155" s="90"/>
      <c r="AV155" s="94"/>
      <c r="AW155" s="95"/>
      <c r="AX155" s="90"/>
      <c r="AY155" s="21"/>
      <c r="AZ155" s="20"/>
      <c r="BA155" s="96"/>
      <c r="BB155" s="66"/>
      <c r="BC155" s="21"/>
      <c r="BD155" s="22"/>
      <c r="BE155" s="22"/>
      <c r="BF155" s="97"/>
      <c r="BG155" s="97"/>
      <c r="BH155" s="97"/>
      <c r="BI155" s="20"/>
      <c r="BJ155" s="21"/>
      <c r="BK155" s="21"/>
      <c r="BL155" s="18"/>
      <c r="BM155" s="18"/>
      <c r="BN155" s="68"/>
      <c r="BO155" s="21"/>
      <c r="BP155" s="67"/>
      <c r="BQ155" s="90"/>
      <c r="BR155" s="94"/>
      <c r="BS155" s="95"/>
      <c r="BT155" s="90"/>
      <c r="BU155" s="21"/>
      <c r="BV155" s="20"/>
      <c r="BW155" s="96"/>
      <c r="BX155" s="66"/>
      <c r="BY155" s="21"/>
      <c r="BZ155" s="22"/>
      <c r="CA155" s="22"/>
      <c r="CB155" s="97"/>
      <c r="CC155" s="97"/>
      <c r="CD155" s="97"/>
      <c r="CE155" s="20"/>
      <c r="CF155" s="21"/>
      <c r="CG155" s="21"/>
      <c r="CH155" s="18"/>
      <c r="CI155" s="18"/>
      <c r="CJ155" s="68"/>
      <c r="CK155" s="21"/>
      <c r="CL155" s="67"/>
      <c r="CM155" s="90"/>
      <c r="CN155" s="94"/>
      <c r="CO155" s="95"/>
      <c r="CP155" s="90"/>
      <c r="CQ155" s="21"/>
      <c r="CR155" s="20"/>
      <c r="CS155" s="96"/>
      <c r="CT155" s="66"/>
      <c r="CU155" s="21"/>
      <c r="CV155" s="22"/>
      <c r="CW155" s="22"/>
      <c r="CX155" s="97"/>
      <c r="CY155" s="97"/>
      <c r="CZ155" s="97"/>
      <c r="DA155" s="20"/>
      <c r="DB155" s="21"/>
      <c r="DC155" s="21"/>
      <c r="DD155" s="18"/>
      <c r="DE155" s="18"/>
      <c r="DF155" s="68"/>
      <c r="DG155" s="21"/>
      <c r="DH155" s="67"/>
      <c r="DI155" s="90"/>
      <c r="DJ155" s="94"/>
      <c r="DK155" s="95"/>
      <c r="DL155" s="90"/>
      <c r="DM155" s="21"/>
      <c r="DN155" s="20"/>
      <c r="DO155" s="96"/>
      <c r="DP155" s="66"/>
      <c r="DQ155" s="21"/>
      <c r="DR155" s="22"/>
      <c r="DS155" s="22"/>
      <c r="DT155" s="97"/>
      <c r="DU155" s="97"/>
      <c r="DV155" s="97"/>
      <c r="DW155" s="20"/>
      <c r="DX155" s="21"/>
      <c r="DY155" s="21"/>
      <c r="DZ155" s="18"/>
      <c r="EA155" s="18"/>
      <c r="EB155" s="68"/>
      <c r="EC155" s="21"/>
      <c r="ED155" s="67"/>
      <c r="EE155" s="90"/>
      <c r="EF155" s="94"/>
      <c r="EG155" s="95"/>
      <c r="EH155" s="90"/>
      <c r="EI155" s="21"/>
      <c r="EJ155" s="20"/>
      <c r="EK155" s="96"/>
      <c r="EL155" s="66"/>
      <c r="EM155" s="21"/>
      <c r="EN155" s="22"/>
      <c r="EO155" s="18"/>
      <c r="EP155" s="68"/>
      <c r="EQ155" s="21"/>
      <c r="ER155" s="67"/>
      <c r="ES155" s="90"/>
      <c r="ET155" s="21"/>
      <c r="EU155" s="95"/>
      <c r="EV155" s="90"/>
      <c r="EW155" s="21"/>
      <c r="EX155" s="20"/>
      <c r="EY155" s="96"/>
      <c r="EZ155" s="66"/>
      <c r="FA155" s="21"/>
      <c r="FB155" s="22"/>
      <c r="FC155" s="22"/>
      <c r="FD155" s="97"/>
      <c r="FE155" s="97"/>
      <c r="FF155" s="97"/>
      <c r="FG155" s="20"/>
      <c r="FH155" s="21"/>
      <c r="FI155" s="18"/>
      <c r="FJ155" s="18"/>
      <c r="FK155" s="68"/>
      <c r="FL155" s="21"/>
      <c r="FM155" s="67"/>
      <c r="FN155" s="90"/>
      <c r="FO155" s="94"/>
      <c r="FP155" s="95"/>
      <c r="FQ155" s="90"/>
      <c r="FR155" s="21"/>
      <c r="FS155" s="20"/>
      <c r="FT155" s="96"/>
      <c r="FU155" s="66"/>
      <c r="FV155" s="21"/>
      <c r="FW155" s="22"/>
      <c r="FX155" s="22"/>
      <c r="FY155" s="97"/>
      <c r="FZ155" s="97"/>
      <c r="GA155" s="97"/>
      <c r="GB155" s="20"/>
      <c r="GC155" s="21"/>
      <c r="GD155" s="21"/>
      <c r="GE155" s="18"/>
      <c r="GF155" s="18"/>
      <c r="GG155" s="68"/>
      <c r="GH155" s="21"/>
      <c r="GI155" s="67"/>
      <c r="GJ155" s="90"/>
      <c r="GK155" s="94"/>
      <c r="GL155" s="95"/>
      <c r="GM155" s="90"/>
      <c r="GN155" s="21"/>
      <c r="GO155" s="20"/>
      <c r="GP155" s="96"/>
      <c r="GQ155" s="66"/>
      <c r="GR155" s="21"/>
      <c r="GS155" s="22"/>
      <c r="GT155" s="22"/>
      <c r="GU155" s="97"/>
      <c r="GV155" s="97"/>
      <c r="GW155" s="97"/>
      <c r="GX155" s="20"/>
      <c r="GY155" s="21"/>
      <c r="GZ155" s="21"/>
      <c r="HA155" s="18"/>
      <c r="HB155" s="18"/>
      <c r="HC155" s="68"/>
      <c r="HD155" s="21"/>
      <c r="HE155" s="67"/>
      <c r="HF155" s="90"/>
      <c r="HG155" s="94"/>
      <c r="HH155" s="95"/>
      <c r="HI155" s="90"/>
      <c r="HJ155" s="21"/>
      <c r="HK155" s="20"/>
      <c r="HL155" s="96"/>
      <c r="HM155" s="66"/>
      <c r="HN155" s="21"/>
      <c r="HO155" s="22"/>
      <c r="HP155" s="22"/>
      <c r="HQ155" s="97"/>
      <c r="HR155" s="97"/>
      <c r="HS155" s="97"/>
      <c r="HT155" s="20"/>
      <c r="HU155" s="21"/>
      <c r="HV155" s="21"/>
      <c r="HW155" s="18"/>
      <c r="HX155" s="18"/>
      <c r="HY155" s="68"/>
      <c r="HZ155" s="21"/>
      <c r="IA155" s="67"/>
      <c r="IB155" s="90"/>
      <c r="IC155" s="94"/>
      <c r="ID155" s="95"/>
      <c r="IE155" s="90"/>
      <c r="IF155" s="21"/>
      <c r="IG155" s="20"/>
      <c r="IH155" s="96"/>
      <c r="II155" s="66"/>
      <c r="IJ155" s="21"/>
      <c r="IK155" s="22"/>
      <c r="IL155" s="22"/>
      <c r="IM155" s="97"/>
      <c r="IN155" s="97"/>
      <c r="IO155" s="97"/>
      <c r="IP155" s="20"/>
      <c r="IQ155" s="21"/>
      <c r="IR155" s="21"/>
      <c r="IS155" s="18"/>
      <c r="IT155" s="18"/>
      <c r="IU155" s="68"/>
      <c r="IV155" s="21"/>
      <c r="IW155" s="67"/>
      <c r="IX155" s="90"/>
      <c r="IY155" s="94"/>
      <c r="IZ155" s="95"/>
      <c r="JA155" s="90"/>
      <c r="JB155" s="21"/>
      <c r="JC155" s="20"/>
      <c r="JD155" s="96"/>
      <c r="JE155" s="66"/>
      <c r="JF155" s="21"/>
      <c r="JG155" s="22"/>
      <c r="JH155" s="22"/>
      <c r="JI155" s="97"/>
      <c r="JJ155" s="97"/>
      <c r="JK155" s="97"/>
      <c r="JL155" s="20"/>
      <c r="JM155" s="21"/>
      <c r="JN155" s="21"/>
      <c r="JO155" s="18"/>
      <c r="JP155" s="18"/>
      <c r="JQ155" s="68"/>
      <c r="JR155" s="21"/>
      <c r="JS155" s="67"/>
      <c r="JT155" s="90"/>
      <c r="JU155" s="94"/>
      <c r="JV155" s="95"/>
      <c r="JW155" s="90"/>
      <c r="JX155" s="21"/>
      <c r="JY155" s="20"/>
      <c r="JZ155" s="96"/>
      <c r="KA155" s="66"/>
      <c r="KB155" s="21"/>
      <c r="KC155" s="22"/>
      <c r="KD155" s="22"/>
      <c r="KE155" s="97"/>
      <c r="KF155" s="97"/>
      <c r="KG155" s="97"/>
      <c r="KH155" s="20"/>
      <c r="KI155" s="21"/>
      <c r="KJ155" s="21"/>
      <c r="KK155" s="18"/>
      <c r="KL155" s="18"/>
      <c r="KM155" s="68"/>
      <c r="KN155" s="21"/>
      <c r="KO155" s="67"/>
      <c r="KP155" s="90"/>
      <c r="KQ155" s="94"/>
      <c r="KR155" s="95"/>
      <c r="KS155" s="90"/>
      <c r="KT155" s="21"/>
      <c r="KU155" s="20"/>
      <c r="KV155" s="96"/>
      <c r="KW155" s="66"/>
      <c r="KX155" s="21"/>
      <c r="KY155" s="22"/>
      <c r="KZ155" s="22"/>
      <c r="LA155" s="97"/>
      <c r="LB155" s="97"/>
      <c r="LC155" s="97"/>
      <c r="LD155" s="20"/>
      <c r="LE155" s="21"/>
      <c r="LF155" s="21"/>
      <c r="LG155" s="18"/>
      <c r="LH155" s="18"/>
      <c r="LI155" s="68"/>
      <c r="LJ155" s="21"/>
      <c r="LK155" s="67"/>
      <c r="LL155" s="90"/>
      <c r="LM155" s="94"/>
      <c r="LN155" s="95"/>
      <c r="LO155" s="90"/>
      <c r="LP155" s="21"/>
      <c r="LQ155" s="20"/>
      <c r="LR155" s="96"/>
      <c r="LS155" s="66"/>
      <c r="LT155" s="21"/>
      <c r="LU155" s="22"/>
      <c r="LV155" s="22"/>
      <c r="LW155" s="97"/>
      <c r="LX155" s="97"/>
      <c r="LY155" s="97"/>
      <c r="LZ155" s="20"/>
      <c r="MA155" s="21"/>
      <c r="MB155" s="21"/>
      <c r="MC155" s="18"/>
      <c r="MD155" s="18"/>
      <c r="ME155" s="68"/>
      <c r="MF155" s="21"/>
      <c r="MG155" s="67"/>
      <c r="MH155" s="90"/>
      <c r="MI155" s="94"/>
      <c r="MJ155" s="95"/>
      <c r="MK155" s="90"/>
      <c r="ML155" s="21"/>
      <c r="MM155" s="20"/>
      <c r="MN155" s="96"/>
      <c r="MO155" s="66"/>
      <c r="MP155" s="21"/>
      <c r="MQ155" s="22"/>
      <c r="MR155" s="22"/>
      <c r="MS155" s="97"/>
      <c r="MT155" s="97"/>
      <c r="MU155" s="97"/>
      <c r="MV155" s="20"/>
      <c r="MW155" s="21"/>
      <c r="MX155" s="21"/>
      <c r="MY155" s="18"/>
      <c r="MZ155" s="18"/>
      <c r="NA155" s="68"/>
      <c r="NB155" s="21"/>
      <c r="NC155" s="67"/>
      <c r="ND155" s="90"/>
      <c r="NE155" s="94"/>
      <c r="NF155" s="95"/>
      <c r="NG155" s="90"/>
      <c r="NH155" s="21"/>
      <c r="NI155" s="20"/>
      <c r="NJ155" s="96"/>
      <c r="NK155" s="66"/>
      <c r="NL155" s="21"/>
      <c r="NM155" s="22"/>
      <c r="NN155" s="22"/>
      <c r="NO155" s="97"/>
      <c r="NP155" s="97"/>
      <c r="NQ155" s="97"/>
      <c r="NR155" s="20"/>
      <c r="NS155" s="21"/>
      <c r="NT155" s="21"/>
      <c r="NU155" s="18"/>
      <c r="NV155" s="18"/>
      <c r="NW155" s="68"/>
      <c r="NX155" s="21"/>
      <c r="NY155" s="67"/>
      <c r="NZ155" s="90"/>
      <c r="OA155" s="94"/>
      <c r="OB155" s="95"/>
      <c r="OC155" s="90"/>
      <c r="OD155" s="21"/>
      <c r="OE155" s="20"/>
      <c r="OF155" s="96"/>
      <c r="OG155" s="66"/>
      <c r="OH155" s="21"/>
      <c r="OI155" s="22"/>
      <c r="OJ155" s="22"/>
      <c r="OK155" s="97"/>
      <c r="OL155" s="97"/>
      <c r="OM155" s="97"/>
      <c r="ON155" s="20"/>
      <c r="OO155" s="21"/>
      <c r="OP155" s="21"/>
      <c r="OQ155" s="18"/>
      <c r="OR155" s="18"/>
      <c r="OS155" s="68"/>
      <c r="OT155" s="21"/>
      <c r="OU155" s="67"/>
      <c r="OV155" s="90"/>
      <c r="OW155" s="94"/>
      <c r="OX155" s="95"/>
      <c r="OY155" s="90"/>
      <c r="OZ155" s="21"/>
      <c r="PA155" s="20"/>
      <c r="PB155" s="96"/>
      <c r="PC155" s="66"/>
      <c r="PD155" s="21"/>
      <c r="PE155" s="22"/>
      <c r="PF155" s="22"/>
      <c r="PG155" s="97"/>
      <c r="PH155" s="97"/>
      <c r="PI155" s="97"/>
      <c r="PJ155" s="20"/>
      <c r="PK155" s="21"/>
      <c r="PL155" s="21"/>
      <c r="PM155" s="18"/>
      <c r="PN155" s="18"/>
      <c r="PO155" s="68"/>
      <c r="PP155" s="21"/>
      <c r="PQ155" s="67"/>
      <c r="PR155" s="90"/>
      <c r="PS155" s="94"/>
      <c r="PT155" s="95"/>
      <c r="PU155" s="90"/>
      <c r="PV155" s="21"/>
      <c r="PW155" s="20"/>
      <c r="PX155" s="96"/>
      <c r="PY155" s="66"/>
      <c r="PZ155" s="21"/>
      <c r="QA155" s="22"/>
      <c r="QB155" s="22"/>
      <c r="QC155" s="97"/>
      <c r="QD155" s="97"/>
      <c r="QE155" s="97"/>
      <c r="QF155" s="20"/>
      <c r="QG155" s="21"/>
      <c r="QH155" s="21"/>
      <c r="QI155" s="18"/>
      <c r="QJ155" s="18"/>
      <c r="QK155" s="68"/>
      <c r="QL155" s="21"/>
      <c r="QM155" s="67"/>
      <c r="QN155" s="90"/>
      <c r="QO155" s="94"/>
      <c r="QP155" s="95"/>
      <c r="QQ155" s="90"/>
      <c r="QR155" s="21"/>
      <c r="QS155" s="20"/>
      <c r="QT155" s="96"/>
      <c r="QU155" s="66"/>
      <c r="QV155" s="21"/>
      <c r="QW155" s="22"/>
    </row>
    <row r="156" spans="1:465" ht="15" customHeight="1">
      <c r="A156" s="67">
        <v>151</v>
      </c>
      <c r="B156" s="68">
        <v>46244</v>
      </c>
      <c r="C156" s="67" t="s">
        <v>131</v>
      </c>
      <c r="D156" s="67" t="s">
        <v>106</v>
      </c>
      <c r="E156" s="67"/>
      <c r="F156" s="67" t="s">
        <v>230</v>
      </c>
      <c r="G156" s="67"/>
      <c r="H156" s="67" t="s">
        <v>105</v>
      </c>
      <c r="I156" s="67" t="s">
        <v>271</v>
      </c>
      <c r="J156" s="67">
        <v>718202</v>
      </c>
      <c r="K156" s="67"/>
      <c r="L156" s="125" t="s">
        <v>281</v>
      </c>
      <c r="M156" s="67"/>
      <c r="N156" s="67"/>
      <c r="O156" s="67" t="b">
        <v>1</v>
      </c>
      <c r="P156" s="67"/>
      <c r="Q156" s="67"/>
      <c r="R156" s="67"/>
      <c r="S156" s="67"/>
      <c r="T156" s="84"/>
      <c r="U156" s="67"/>
      <c r="V156" s="67"/>
      <c r="W156" s="21"/>
      <c r="X156" s="67"/>
      <c r="Y156" s="90"/>
      <c r="Z156" s="94"/>
      <c r="AA156" s="95"/>
      <c r="AB156" s="90"/>
      <c r="AC156" s="21"/>
      <c r="AD156" s="20"/>
      <c r="AE156" s="96"/>
      <c r="AF156" s="66"/>
      <c r="AG156" s="21"/>
      <c r="AH156" s="22"/>
      <c r="AI156" s="22"/>
      <c r="AJ156" s="97"/>
      <c r="AK156" s="97"/>
      <c r="AL156" s="97"/>
      <c r="AM156" s="20"/>
      <c r="AN156" s="21"/>
      <c r="AO156" s="21"/>
      <c r="AP156" s="18"/>
      <c r="AQ156" s="18"/>
      <c r="AR156" s="68"/>
      <c r="AS156" s="21"/>
      <c r="AT156" s="67"/>
      <c r="AU156" s="90"/>
      <c r="AV156" s="94"/>
      <c r="AW156" s="95"/>
      <c r="AX156" s="90"/>
      <c r="AY156" s="21"/>
      <c r="AZ156" s="20"/>
      <c r="BA156" s="96"/>
      <c r="BB156" s="66"/>
      <c r="BC156" s="21"/>
      <c r="BD156" s="22"/>
      <c r="BE156" s="22"/>
      <c r="BF156" s="97"/>
      <c r="BG156" s="97"/>
      <c r="BH156" s="97"/>
      <c r="BI156" s="20"/>
      <c r="BJ156" s="21"/>
      <c r="BK156" s="21"/>
      <c r="BL156" s="18"/>
      <c r="BM156" s="18"/>
      <c r="BN156" s="68"/>
      <c r="BO156" s="21"/>
      <c r="BP156" s="67"/>
      <c r="BQ156" s="90"/>
      <c r="BR156" s="94"/>
      <c r="BS156" s="95"/>
      <c r="BT156" s="90"/>
      <c r="BU156" s="21"/>
      <c r="BV156" s="20"/>
      <c r="BW156" s="96"/>
      <c r="BX156" s="66"/>
      <c r="BY156" s="21"/>
      <c r="BZ156" s="22"/>
      <c r="CA156" s="22"/>
      <c r="CB156" s="97"/>
      <c r="CC156" s="97"/>
      <c r="CD156" s="97"/>
      <c r="CE156" s="20"/>
      <c r="CF156" s="21"/>
      <c r="CG156" s="21"/>
      <c r="CH156" s="18"/>
      <c r="CI156" s="18"/>
      <c r="CJ156" s="68"/>
      <c r="CK156" s="21"/>
      <c r="CL156" s="67"/>
      <c r="CM156" s="90"/>
      <c r="CN156" s="94"/>
      <c r="CO156" s="95"/>
      <c r="CP156" s="90"/>
      <c r="CQ156" s="21"/>
      <c r="CR156" s="20"/>
      <c r="CS156" s="96"/>
      <c r="CT156" s="66"/>
      <c r="CU156" s="21"/>
      <c r="CV156" s="22"/>
      <c r="CW156" s="22"/>
      <c r="CX156" s="97"/>
      <c r="CY156" s="97"/>
      <c r="CZ156" s="97"/>
      <c r="DA156" s="20"/>
      <c r="DB156" s="21"/>
      <c r="DC156" s="21"/>
      <c r="DD156" s="18"/>
      <c r="DE156" s="18"/>
      <c r="DF156" s="68"/>
      <c r="DG156" s="21"/>
      <c r="DH156" s="67"/>
      <c r="DI156" s="90"/>
      <c r="DJ156" s="94"/>
      <c r="DK156" s="95"/>
      <c r="DL156" s="90"/>
      <c r="DM156" s="21"/>
      <c r="DN156" s="20"/>
      <c r="DO156" s="96"/>
      <c r="DP156" s="66"/>
      <c r="DQ156" s="21"/>
      <c r="DR156" s="22"/>
      <c r="DS156" s="22"/>
      <c r="DT156" s="97"/>
      <c r="DU156" s="97"/>
      <c r="DV156" s="97"/>
      <c r="DW156" s="20"/>
      <c r="DX156" s="21"/>
      <c r="DY156" s="21"/>
      <c r="DZ156" s="18"/>
      <c r="EA156" s="18"/>
      <c r="EB156" s="68"/>
      <c r="EC156" s="21"/>
      <c r="ED156" s="67"/>
      <c r="EE156" s="90"/>
      <c r="EF156" s="94"/>
      <c r="EG156" s="95"/>
      <c r="EH156" s="90"/>
      <c r="EI156" s="21"/>
      <c r="EJ156" s="20"/>
      <c r="EK156" s="96"/>
      <c r="EL156" s="66"/>
      <c r="EM156" s="21"/>
      <c r="EN156" s="22"/>
      <c r="EO156" s="18"/>
      <c r="EP156" s="68"/>
      <c r="EQ156" s="21"/>
      <c r="ER156" s="67"/>
      <c r="ES156" s="90"/>
      <c r="ET156" s="21"/>
      <c r="EU156" s="95"/>
      <c r="EV156" s="90"/>
      <c r="EW156" s="21"/>
      <c r="EX156" s="20"/>
      <c r="EY156" s="96"/>
      <c r="EZ156" s="66"/>
      <c r="FA156" s="21"/>
      <c r="FB156" s="22"/>
      <c r="FC156" s="22"/>
      <c r="FD156" s="97"/>
      <c r="FE156" s="97"/>
      <c r="FF156" s="97"/>
      <c r="FG156" s="20"/>
      <c r="FH156" s="21"/>
      <c r="FI156" s="18"/>
      <c r="FJ156" s="18"/>
      <c r="FK156" s="68"/>
      <c r="FL156" s="21"/>
      <c r="FM156" s="67"/>
      <c r="FN156" s="90"/>
      <c r="FO156" s="94"/>
      <c r="FP156" s="95"/>
      <c r="FQ156" s="90"/>
      <c r="FR156" s="21"/>
      <c r="FS156" s="20"/>
      <c r="FT156" s="96"/>
      <c r="FU156" s="66"/>
      <c r="FV156" s="21"/>
      <c r="FW156" s="22"/>
      <c r="FX156" s="22"/>
      <c r="FY156" s="97"/>
      <c r="FZ156" s="97"/>
      <c r="GA156" s="97"/>
      <c r="GB156" s="20"/>
      <c r="GC156" s="21"/>
      <c r="GD156" s="21"/>
      <c r="GE156" s="18"/>
      <c r="GF156" s="18"/>
      <c r="GG156" s="68"/>
      <c r="GH156" s="21"/>
      <c r="GI156" s="67"/>
      <c r="GJ156" s="90"/>
      <c r="GK156" s="94"/>
      <c r="GL156" s="95"/>
      <c r="GM156" s="90"/>
      <c r="GN156" s="21"/>
      <c r="GO156" s="20"/>
      <c r="GP156" s="96"/>
      <c r="GQ156" s="66"/>
      <c r="GR156" s="21"/>
      <c r="GS156" s="22"/>
      <c r="GT156" s="22"/>
      <c r="GU156" s="97"/>
      <c r="GV156" s="97"/>
      <c r="GW156" s="97"/>
      <c r="GX156" s="20"/>
      <c r="GY156" s="21"/>
      <c r="GZ156" s="21"/>
      <c r="HA156" s="18"/>
      <c r="HB156" s="18"/>
      <c r="HC156" s="68"/>
      <c r="HD156" s="21"/>
      <c r="HE156" s="67"/>
      <c r="HF156" s="90"/>
      <c r="HG156" s="94"/>
      <c r="HH156" s="95"/>
      <c r="HI156" s="90"/>
      <c r="HJ156" s="21"/>
      <c r="HK156" s="20"/>
      <c r="HL156" s="96"/>
      <c r="HM156" s="66"/>
      <c r="HN156" s="21"/>
      <c r="HO156" s="22"/>
      <c r="HP156" s="22"/>
      <c r="HQ156" s="97"/>
      <c r="HR156" s="97"/>
      <c r="HS156" s="97"/>
      <c r="HT156" s="20"/>
      <c r="HU156" s="21"/>
      <c r="HV156" s="21"/>
      <c r="HW156" s="18"/>
      <c r="HX156" s="18"/>
      <c r="HY156" s="68"/>
      <c r="HZ156" s="21"/>
      <c r="IA156" s="67"/>
      <c r="IB156" s="90"/>
      <c r="IC156" s="94"/>
      <c r="ID156" s="95"/>
      <c r="IE156" s="90"/>
      <c r="IF156" s="21"/>
      <c r="IG156" s="20"/>
      <c r="IH156" s="96"/>
      <c r="II156" s="66"/>
      <c r="IJ156" s="21"/>
      <c r="IK156" s="22"/>
      <c r="IL156" s="22"/>
      <c r="IM156" s="97"/>
      <c r="IN156" s="97"/>
      <c r="IO156" s="97"/>
      <c r="IP156" s="20"/>
      <c r="IQ156" s="21"/>
      <c r="IR156" s="21"/>
      <c r="IS156" s="18"/>
      <c r="IT156" s="18"/>
      <c r="IU156" s="68"/>
      <c r="IV156" s="21"/>
      <c r="IW156" s="67"/>
      <c r="IX156" s="90"/>
      <c r="IY156" s="94"/>
      <c r="IZ156" s="95"/>
      <c r="JA156" s="90"/>
      <c r="JB156" s="21"/>
      <c r="JC156" s="20"/>
      <c r="JD156" s="96"/>
      <c r="JE156" s="66"/>
      <c r="JF156" s="21"/>
      <c r="JG156" s="22"/>
      <c r="JH156" s="22"/>
      <c r="JI156" s="97"/>
      <c r="JJ156" s="97"/>
      <c r="JK156" s="97"/>
      <c r="JL156" s="20"/>
      <c r="JM156" s="21"/>
      <c r="JN156" s="21"/>
      <c r="JO156" s="18"/>
      <c r="JP156" s="18"/>
      <c r="JQ156" s="68"/>
      <c r="JR156" s="21"/>
      <c r="JS156" s="67"/>
      <c r="JT156" s="90"/>
      <c r="JU156" s="94"/>
      <c r="JV156" s="95"/>
      <c r="JW156" s="90"/>
      <c r="JX156" s="21"/>
      <c r="JY156" s="20"/>
      <c r="JZ156" s="96"/>
      <c r="KA156" s="66"/>
      <c r="KB156" s="21"/>
      <c r="KC156" s="22"/>
      <c r="KD156" s="22"/>
      <c r="KE156" s="97"/>
      <c r="KF156" s="97"/>
      <c r="KG156" s="97"/>
      <c r="KH156" s="20"/>
      <c r="KI156" s="21"/>
      <c r="KJ156" s="21"/>
      <c r="KK156" s="18"/>
      <c r="KL156" s="18"/>
      <c r="KM156" s="68"/>
      <c r="KN156" s="21"/>
      <c r="KO156" s="67"/>
      <c r="KP156" s="90"/>
      <c r="KQ156" s="94"/>
      <c r="KR156" s="95"/>
      <c r="KS156" s="90"/>
      <c r="KT156" s="21"/>
      <c r="KU156" s="20"/>
      <c r="KV156" s="96"/>
      <c r="KW156" s="66"/>
      <c r="KX156" s="21"/>
      <c r="KY156" s="22"/>
      <c r="KZ156" s="22"/>
      <c r="LA156" s="97"/>
      <c r="LB156" s="97"/>
      <c r="LC156" s="97"/>
      <c r="LD156" s="20"/>
      <c r="LE156" s="21"/>
      <c r="LF156" s="21"/>
      <c r="LG156" s="18"/>
      <c r="LH156" s="18"/>
      <c r="LI156" s="68"/>
      <c r="LJ156" s="21"/>
      <c r="LK156" s="67"/>
      <c r="LL156" s="90"/>
      <c r="LM156" s="94"/>
      <c r="LN156" s="95"/>
      <c r="LO156" s="90"/>
      <c r="LP156" s="21"/>
      <c r="LQ156" s="20"/>
      <c r="LR156" s="96"/>
      <c r="LS156" s="66"/>
      <c r="LT156" s="21"/>
      <c r="LU156" s="22"/>
      <c r="LV156" s="22"/>
      <c r="LW156" s="97"/>
      <c r="LX156" s="97"/>
      <c r="LY156" s="97"/>
      <c r="LZ156" s="20"/>
      <c r="MA156" s="21"/>
      <c r="MB156" s="21"/>
      <c r="MC156" s="18"/>
      <c r="MD156" s="18"/>
      <c r="ME156" s="68"/>
      <c r="MF156" s="21"/>
      <c r="MG156" s="67"/>
      <c r="MH156" s="90"/>
      <c r="MI156" s="94"/>
      <c r="MJ156" s="95"/>
      <c r="MK156" s="90"/>
      <c r="ML156" s="21"/>
      <c r="MM156" s="20"/>
      <c r="MN156" s="96"/>
      <c r="MO156" s="66"/>
      <c r="MP156" s="21"/>
      <c r="MQ156" s="22"/>
      <c r="MR156" s="22"/>
      <c r="MS156" s="97"/>
      <c r="MT156" s="97"/>
      <c r="MU156" s="97"/>
      <c r="MV156" s="20"/>
      <c r="MW156" s="21"/>
      <c r="MX156" s="21"/>
      <c r="MY156" s="18"/>
      <c r="MZ156" s="18"/>
      <c r="NA156" s="68"/>
      <c r="NB156" s="21"/>
      <c r="NC156" s="67"/>
      <c r="ND156" s="90"/>
      <c r="NE156" s="94"/>
      <c r="NF156" s="95"/>
      <c r="NG156" s="90"/>
      <c r="NH156" s="21"/>
      <c r="NI156" s="20"/>
      <c r="NJ156" s="96"/>
      <c r="NK156" s="66"/>
      <c r="NL156" s="21"/>
      <c r="NM156" s="22"/>
      <c r="NN156" s="22"/>
      <c r="NO156" s="97"/>
      <c r="NP156" s="97"/>
      <c r="NQ156" s="97"/>
      <c r="NR156" s="20"/>
      <c r="NS156" s="21"/>
      <c r="NT156" s="21"/>
      <c r="NU156" s="18"/>
      <c r="NV156" s="18"/>
      <c r="NW156" s="68"/>
      <c r="NX156" s="21"/>
      <c r="NY156" s="67"/>
      <c r="NZ156" s="90"/>
      <c r="OA156" s="94"/>
      <c r="OB156" s="95"/>
      <c r="OC156" s="90"/>
      <c r="OD156" s="21"/>
      <c r="OE156" s="20"/>
      <c r="OF156" s="96"/>
      <c r="OG156" s="66"/>
      <c r="OH156" s="21"/>
      <c r="OI156" s="22"/>
      <c r="OJ156" s="22"/>
      <c r="OK156" s="97"/>
      <c r="OL156" s="97"/>
      <c r="OM156" s="97"/>
      <c r="ON156" s="20"/>
      <c r="OO156" s="21"/>
      <c r="OP156" s="21"/>
      <c r="OQ156" s="18"/>
      <c r="OR156" s="18"/>
      <c r="OS156" s="68"/>
      <c r="OT156" s="21"/>
      <c r="OU156" s="67"/>
      <c r="OV156" s="90"/>
      <c r="OW156" s="94"/>
      <c r="OX156" s="95"/>
      <c r="OY156" s="90"/>
      <c r="OZ156" s="21"/>
      <c r="PA156" s="20"/>
      <c r="PB156" s="96"/>
      <c r="PC156" s="66"/>
      <c r="PD156" s="21"/>
      <c r="PE156" s="22"/>
      <c r="PF156" s="22"/>
      <c r="PG156" s="97"/>
      <c r="PH156" s="97"/>
      <c r="PI156" s="97"/>
      <c r="PJ156" s="20"/>
      <c r="PK156" s="21"/>
      <c r="PL156" s="21"/>
      <c r="PM156" s="18"/>
      <c r="PN156" s="18"/>
      <c r="PO156" s="68"/>
      <c r="PP156" s="21"/>
      <c r="PQ156" s="67"/>
      <c r="PR156" s="90"/>
      <c r="PS156" s="94"/>
      <c r="PT156" s="95"/>
      <c r="PU156" s="90"/>
      <c r="PV156" s="21"/>
      <c r="PW156" s="20"/>
      <c r="PX156" s="96"/>
      <c r="PY156" s="66"/>
      <c r="PZ156" s="21"/>
      <c r="QA156" s="22"/>
      <c r="QB156" s="22"/>
      <c r="QC156" s="97"/>
      <c r="QD156" s="97"/>
      <c r="QE156" s="97"/>
      <c r="QF156" s="20"/>
      <c r="QG156" s="21"/>
      <c r="QH156" s="21"/>
      <c r="QI156" s="18"/>
      <c r="QJ156" s="18"/>
      <c r="QK156" s="68"/>
      <c r="QL156" s="21"/>
      <c r="QM156" s="67"/>
      <c r="QN156" s="90"/>
      <c r="QO156" s="94"/>
      <c r="QP156" s="95"/>
      <c r="QQ156" s="90"/>
      <c r="QR156" s="21"/>
      <c r="QS156" s="20"/>
      <c r="QT156" s="96"/>
      <c r="QU156" s="66"/>
      <c r="QV156" s="21"/>
      <c r="QW156" s="22"/>
    </row>
    <row r="157" spans="1:465" ht="15" customHeight="1">
      <c r="A157" s="67">
        <v>152</v>
      </c>
      <c r="B157" s="68">
        <v>46244</v>
      </c>
      <c r="C157" s="67" t="s">
        <v>131</v>
      </c>
      <c r="D157" s="67" t="s">
        <v>106</v>
      </c>
      <c r="E157" s="67"/>
      <c r="F157" s="67" t="s">
        <v>269</v>
      </c>
      <c r="G157" s="67"/>
      <c r="H157" s="67" t="s">
        <v>105</v>
      </c>
      <c r="I157" s="67" t="s">
        <v>271</v>
      </c>
      <c r="J157" s="67"/>
      <c r="K157" s="67"/>
      <c r="L157" s="125" t="s">
        <v>282</v>
      </c>
      <c r="M157" s="67"/>
      <c r="N157" s="67"/>
      <c r="O157" s="67"/>
      <c r="P157" s="67"/>
      <c r="Q157" s="67"/>
      <c r="R157" s="67"/>
      <c r="S157" s="67"/>
      <c r="T157" s="84"/>
      <c r="U157" s="67"/>
      <c r="V157" s="67"/>
      <c r="W157" s="21"/>
      <c r="X157" s="67"/>
      <c r="Y157" s="90"/>
      <c r="Z157" s="94"/>
      <c r="AA157" s="95"/>
      <c r="AB157" s="90"/>
      <c r="AC157" s="21"/>
      <c r="AD157" s="20"/>
      <c r="AE157" s="96"/>
      <c r="AF157" s="66"/>
      <c r="AG157" s="21"/>
      <c r="AH157" s="22"/>
      <c r="AI157" s="22"/>
      <c r="AJ157" s="97"/>
      <c r="AK157" s="97"/>
      <c r="AL157" s="97"/>
      <c r="AM157" s="20"/>
      <c r="AN157" s="21"/>
      <c r="AO157" s="21"/>
      <c r="AP157" s="18"/>
      <c r="AQ157" s="18"/>
      <c r="AR157" s="68"/>
      <c r="AS157" s="21"/>
      <c r="AT157" s="67"/>
      <c r="AU157" s="90"/>
      <c r="AV157" s="94"/>
      <c r="AW157" s="95"/>
      <c r="AX157" s="90"/>
      <c r="AY157" s="21"/>
      <c r="AZ157" s="20"/>
      <c r="BA157" s="96"/>
      <c r="BB157" s="66"/>
      <c r="BC157" s="21"/>
      <c r="BD157" s="22"/>
      <c r="BE157" s="22"/>
      <c r="BF157" s="97"/>
      <c r="BG157" s="97"/>
      <c r="BH157" s="97"/>
      <c r="BI157" s="20"/>
      <c r="BJ157" s="21"/>
      <c r="BK157" s="21"/>
      <c r="BL157" s="18"/>
      <c r="BM157" s="18"/>
      <c r="BN157" s="68"/>
      <c r="BO157" s="21"/>
      <c r="BP157" s="67"/>
      <c r="BQ157" s="90"/>
      <c r="BR157" s="94"/>
      <c r="BS157" s="95"/>
      <c r="BT157" s="90"/>
      <c r="BU157" s="21"/>
      <c r="BV157" s="20"/>
      <c r="BW157" s="96"/>
      <c r="BX157" s="66"/>
      <c r="BY157" s="21"/>
      <c r="BZ157" s="22"/>
      <c r="CA157" s="22"/>
      <c r="CB157" s="97"/>
      <c r="CC157" s="97"/>
      <c r="CD157" s="97"/>
      <c r="CE157" s="20"/>
      <c r="CF157" s="21"/>
      <c r="CG157" s="21"/>
      <c r="CH157" s="18"/>
      <c r="CI157" s="18"/>
      <c r="CJ157" s="68"/>
      <c r="CK157" s="21"/>
      <c r="CL157" s="67"/>
      <c r="CM157" s="90"/>
      <c r="CN157" s="94"/>
      <c r="CO157" s="95"/>
      <c r="CP157" s="90"/>
      <c r="CQ157" s="21"/>
      <c r="CR157" s="20"/>
      <c r="CS157" s="96"/>
      <c r="CT157" s="66"/>
      <c r="CU157" s="21"/>
      <c r="CV157" s="22"/>
      <c r="CW157" s="22"/>
      <c r="CX157" s="97"/>
      <c r="CY157" s="97"/>
      <c r="CZ157" s="97"/>
      <c r="DA157" s="20"/>
      <c r="DB157" s="21"/>
      <c r="DC157" s="21"/>
      <c r="DD157" s="18"/>
      <c r="DE157" s="18"/>
      <c r="DF157" s="68"/>
      <c r="DG157" s="21"/>
      <c r="DH157" s="67"/>
      <c r="DI157" s="90"/>
      <c r="DJ157" s="94"/>
      <c r="DK157" s="95"/>
      <c r="DL157" s="90"/>
      <c r="DM157" s="21"/>
      <c r="DN157" s="20"/>
      <c r="DO157" s="96"/>
      <c r="DP157" s="66"/>
      <c r="DQ157" s="21"/>
      <c r="DR157" s="22"/>
      <c r="DS157" s="22"/>
      <c r="DT157" s="97"/>
      <c r="DU157" s="97"/>
      <c r="DV157" s="97"/>
      <c r="DW157" s="20"/>
      <c r="DX157" s="21"/>
      <c r="DY157" s="21"/>
      <c r="DZ157" s="18"/>
      <c r="EA157" s="18"/>
      <c r="EB157" s="68"/>
      <c r="EC157" s="21"/>
      <c r="ED157" s="67"/>
      <c r="EE157" s="90"/>
      <c r="EF157" s="94"/>
      <c r="EG157" s="95"/>
      <c r="EH157" s="90"/>
      <c r="EI157" s="21"/>
      <c r="EJ157" s="20"/>
      <c r="EK157" s="96"/>
      <c r="EL157" s="66"/>
      <c r="EM157" s="21"/>
      <c r="EN157" s="22"/>
      <c r="EO157" s="18"/>
      <c r="EP157" s="68"/>
      <c r="EQ157" s="21"/>
      <c r="ER157" s="67"/>
      <c r="ES157" s="90"/>
      <c r="ET157" s="21"/>
      <c r="EU157" s="95"/>
      <c r="EV157" s="90"/>
      <c r="EW157" s="21"/>
      <c r="EX157" s="20"/>
      <c r="EY157" s="96"/>
      <c r="EZ157" s="66"/>
      <c r="FA157" s="21"/>
      <c r="FB157" s="22"/>
      <c r="FC157" s="22"/>
      <c r="FD157" s="97"/>
      <c r="FE157" s="97"/>
      <c r="FF157" s="97"/>
      <c r="FG157" s="20"/>
      <c r="FH157" s="21"/>
      <c r="FI157" s="18"/>
      <c r="FJ157" s="18"/>
      <c r="FK157" s="68"/>
      <c r="FL157" s="21"/>
      <c r="FM157" s="67"/>
      <c r="FN157" s="90"/>
      <c r="FO157" s="94"/>
      <c r="FP157" s="95"/>
      <c r="FQ157" s="90"/>
      <c r="FR157" s="21"/>
      <c r="FS157" s="20"/>
      <c r="FT157" s="96"/>
      <c r="FU157" s="66"/>
      <c r="FV157" s="21"/>
      <c r="FW157" s="22"/>
      <c r="FX157" s="22"/>
      <c r="FY157" s="97"/>
      <c r="FZ157" s="97"/>
      <c r="GA157" s="97"/>
      <c r="GB157" s="20"/>
      <c r="GC157" s="21"/>
      <c r="GD157" s="21"/>
      <c r="GE157" s="18"/>
      <c r="GF157" s="18"/>
      <c r="GG157" s="68"/>
      <c r="GH157" s="21"/>
      <c r="GI157" s="67"/>
      <c r="GJ157" s="90"/>
      <c r="GK157" s="94"/>
      <c r="GL157" s="95"/>
      <c r="GM157" s="90"/>
      <c r="GN157" s="21"/>
      <c r="GO157" s="20"/>
      <c r="GP157" s="96"/>
      <c r="GQ157" s="66"/>
      <c r="GR157" s="21"/>
      <c r="GS157" s="22"/>
      <c r="GT157" s="22"/>
      <c r="GU157" s="97"/>
      <c r="GV157" s="97"/>
      <c r="GW157" s="97"/>
      <c r="GX157" s="20"/>
      <c r="GY157" s="21"/>
      <c r="GZ157" s="21"/>
      <c r="HA157" s="18"/>
      <c r="HB157" s="18"/>
      <c r="HC157" s="68"/>
      <c r="HD157" s="21"/>
      <c r="HE157" s="67"/>
      <c r="HF157" s="90"/>
      <c r="HG157" s="94"/>
      <c r="HH157" s="95"/>
      <c r="HI157" s="90"/>
      <c r="HJ157" s="21"/>
      <c r="HK157" s="20"/>
      <c r="HL157" s="96"/>
      <c r="HM157" s="66"/>
      <c r="HN157" s="21"/>
      <c r="HO157" s="22"/>
      <c r="HP157" s="22"/>
      <c r="HQ157" s="97"/>
      <c r="HR157" s="97"/>
      <c r="HS157" s="97"/>
      <c r="HT157" s="20"/>
      <c r="HU157" s="21"/>
      <c r="HV157" s="21"/>
      <c r="HW157" s="18"/>
      <c r="HX157" s="18"/>
      <c r="HY157" s="68"/>
      <c r="HZ157" s="21"/>
      <c r="IA157" s="67"/>
      <c r="IB157" s="90"/>
      <c r="IC157" s="94"/>
      <c r="ID157" s="95"/>
      <c r="IE157" s="90"/>
      <c r="IF157" s="21"/>
      <c r="IG157" s="20"/>
      <c r="IH157" s="96"/>
      <c r="II157" s="66"/>
      <c r="IJ157" s="21"/>
      <c r="IK157" s="22"/>
      <c r="IL157" s="22"/>
      <c r="IM157" s="97"/>
      <c r="IN157" s="97"/>
      <c r="IO157" s="97"/>
      <c r="IP157" s="20"/>
      <c r="IQ157" s="21"/>
      <c r="IR157" s="21"/>
      <c r="IS157" s="18"/>
      <c r="IT157" s="18"/>
      <c r="IU157" s="68"/>
      <c r="IV157" s="21"/>
      <c r="IW157" s="67"/>
      <c r="IX157" s="90"/>
      <c r="IY157" s="94"/>
      <c r="IZ157" s="95"/>
      <c r="JA157" s="90"/>
      <c r="JB157" s="21"/>
      <c r="JC157" s="20"/>
      <c r="JD157" s="96"/>
      <c r="JE157" s="66"/>
      <c r="JF157" s="21"/>
      <c r="JG157" s="22"/>
      <c r="JH157" s="22"/>
      <c r="JI157" s="97"/>
      <c r="JJ157" s="97"/>
      <c r="JK157" s="97"/>
      <c r="JL157" s="20"/>
      <c r="JM157" s="21"/>
      <c r="JN157" s="21"/>
      <c r="JO157" s="18"/>
      <c r="JP157" s="18"/>
      <c r="JQ157" s="68"/>
      <c r="JR157" s="21"/>
      <c r="JS157" s="67"/>
      <c r="JT157" s="90"/>
      <c r="JU157" s="94"/>
      <c r="JV157" s="95"/>
      <c r="JW157" s="90"/>
      <c r="JX157" s="21"/>
      <c r="JY157" s="20"/>
      <c r="JZ157" s="96"/>
      <c r="KA157" s="66"/>
      <c r="KB157" s="21"/>
      <c r="KC157" s="22"/>
      <c r="KD157" s="22"/>
      <c r="KE157" s="97"/>
      <c r="KF157" s="97"/>
      <c r="KG157" s="97"/>
      <c r="KH157" s="20"/>
      <c r="KI157" s="21"/>
      <c r="KJ157" s="21"/>
      <c r="KK157" s="18"/>
      <c r="KL157" s="18"/>
      <c r="KM157" s="68"/>
      <c r="KN157" s="21"/>
      <c r="KO157" s="67"/>
      <c r="KP157" s="90"/>
      <c r="KQ157" s="94"/>
      <c r="KR157" s="95"/>
      <c r="KS157" s="90"/>
      <c r="KT157" s="21"/>
      <c r="KU157" s="20"/>
      <c r="KV157" s="96"/>
      <c r="KW157" s="66"/>
      <c r="KX157" s="21"/>
      <c r="KY157" s="22"/>
      <c r="KZ157" s="22"/>
      <c r="LA157" s="97"/>
      <c r="LB157" s="97"/>
      <c r="LC157" s="97"/>
      <c r="LD157" s="20"/>
      <c r="LE157" s="21"/>
      <c r="LF157" s="21"/>
      <c r="LG157" s="18"/>
      <c r="LH157" s="18"/>
      <c r="LI157" s="68"/>
      <c r="LJ157" s="21"/>
      <c r="LK157" s="67"/>
      <c r="LL157" s="90"/>
      <c r="LM157" s="94"/>
      <c r="LN157" s="95"/>
      <c r="LO157" s="90"/>
      <c r="LP157" s="21"/>
      <c r="LQ157" s="20"/>
      <c r="LR157" s="96"/>
      <c r="LS157" s="66"/>
      <c r="LT157" s="21"/>
      <c r="LU157" s="22"/>
      <c r="LV157" s="22"/>
      <c r="LW157" s="97"/>
      <c r="LX157" s="97"/>
      <c r="LY157" s="97"/>
      <c r="LZ157" s="20"/>
      <c r="MA157" s="21"/>
      <c r="MB157" s="21"/>
      <c r="MC157" s="18"/>
      <c r="MD157" s="18"/>
      <c r="ME157" s="68"/>
      <c r="MF157" s="21"/>
      <c r="MG157" s="67"/>
      <c r="MH157" s="90"/>
      <c r="MI157" s="94"/>
      <c r="MJ157" s="95"/>
      <c r="MK157" s="90"/>
      <c r="ML157" s="21"/>
      <c r="MM157" s="20"/>
      <c r="MN157" s="96"/>
      <c r="MO157" s="66"/>
      <c r="MP157" s="21"/>
      <c r="MQ157" s="22"/>
      <c r="MR157" s="22"/>
      <c r="MS157" s="97"/>
      <c r="MT157" s="97"/>
      <c r="MU157" s="97"/>
      <c r="MV157" s="20"/>
      <c r="MW157" s="21"/>
      <c r="MX157" s="21"/>
      <c r="MY157" s="18"/>
      <c r="MZ157" s="18"/>
      <c r="NA157" s="68"/>
      <c r="NB157" s="21"/>
      <c r="NC157" s="67"/>
      <c r="ND157" s="90"/>
      <c r="NE157" s="94"/>
      <c r="NF157" s="95"/>
      <c r="NG157" s="90"/>
      <c r="NH157" s="21"/>
      <c r="NI157" s="20"/>
      <c r="NJ157" s="96"/>
      <c r="NK157" s="66"/>
      <c r="NL157" s="21"/>
      <c r="NM157" s="22"/>
      <c r="NN157" s="22"/>
      <c r="NO157" s="97"/>
      <c r="NP157" s="97"/>
      <c r="NQ157" s="97"/>
      <c r="NR157" s="20"/>
      <c r="NS157" s="21"/>
      <c r="NT157" s="21"/>
      <c r="NU157" s="18"/>
      <c r="NV157" s="18"/>
      <c r="NW157" s="68"/>
      <c r="NX157" s="21"/>
      <c r="NY157" s="67"/>
      <c r="NZ157" s="90"/>
      <c r="OA157" s="94"/>
      <c r="OB157" s="95"/>
      <c r="OC157" s="90"/>
      <c r="OD157" s="21"/>
      <c r="OE157" s="20"/>
      <c r="OF157" s="96"/>
      <c r="OG157" s="66"/>
      <c r="OH157" s="21"/>
      <c r="OI157" s="22"/>
      <c r="OJ157" s="22"/>
      <c r="OK157" s="97"/>
      <c r="OL157" s="97"/>
      <c r="OM157" s="97"/>
      <c r="ON157" s="20"/>
      <c r="OO157" s="21"/>
      <c r="OP157" s="21"/>
      <c r="OQ157" s="18"/>
      <c r="OR157" s="18"/>
      <c r="OS157" s="68"/>
      <c r="OT157" s="21"/>
      <c r="OU157" s="67"/>
      <c r="OV157" s="90"/>
      <c r="OW157" s="94"/>
      <c r="OX157" s="95"/>
      <c r="OY157" s="90"/>
      <c r="OZ157" s="21"/>
      <c r="PA157" s="20"/>
      <c r="PB157" s="96"/>
      <c r="PC157" s="66"/>
      <c r="PD157" s="21"/>
      <c r="PE157" s="22"/>
      <c r="PF157" s="22"/>
      <c r="PG157" s="97"/>
      <c r="PH157" s="97"/>
      <c r="PI157" s="97"/>
      <c r="PJ157" s="20"/>
      <c r="PK157" s="21"/>
      <c r="PL157" s="21"/>
      <c r="PM157" s="18"/>
      <c r="PN157" s="18"/>
      <c r="PO157" s="68"/>
      <c r="PP157" s="21"/>
      <c r="PQ157" s="67"/>
      <c r="PR157" s="90"/>
      <c r="PS157" s="94"/>
      <c r="PT157" s="95"/>
      <c r="PU157" s="90"/>
      <c r="PV157" s="21"/>
      <c r="PW157" s="20"/>
      <c r="PX157" s="96"/>
      <c r="PY157" s="66"/>
      <c r="PZ157" s="21"/>
      <c r="QA157" s="22"/>
      <c r="QB157" s="22"/>
      <c r="QC157" s="97"/>
      <c r="QD157" s="97"/>
      <c r="QE157" s="97"/>
      <c r="QF157" s="20"/>
      <c r="QG157" s="21"/>
      <c r="QH157" s="21"/>
      <c r="QI157" s="18"/>
      <c r="QJ157" s="18"/>
      <c r="QK157" s="68"/>
      <c r="QL157" s="21"/>
      <c r="QM157" s="67"/>
      <c r="QN157" s="90"/>
      <c r="QO157" s="94"/>
      <c r="QP157" s="95"/>
      <c r="QQ157" s="90"/>
      <c r="QR157" s="21"/>
      <c r="QS157" s="20"/>
      <c r="QT157" s="96"/>
      <c r="QU157" s="66"/>
      <c r="QV157" s="21"/>
      <c r="QW157" s="22"/>
    </row>
    <row r="158" spans="1:465" s="122" customFormat="1" ht="15" customHeight="1">
      <c r="A158" s="67">
        <v>153</v>
      </c>
      <c r="B158" s="68">
        <v>46246</v>
      </c>
      <c r="C158" s="67" t="s">
        <v>131</v>
      </c>
      <c r="D158" s="67" t="s">
        <v>106</v>
      </c>
      <c r="E158" s="67"/>
      <c r="F158" s="67" t="s">
        <v>269</v>
      </c>
      <c r="G158" s="67"/>
      <c r="H158" s="67" t="s">
        <v>105</v>
      </c>
      <c r="I158" s="67" t="s">
        <v>283</v>
      </c>
      <c r="J158" s="67"/>
      <c r="K158" s="67"/>
      <c r="L158" s="125" t="s">
        <v>284</v>
      </c>
      <c r="M158" s="67"/>
      <c r="N158" s="67"/>
      <c r="O158" s="67"/>
      <c r="P158" s="67"/>
      <c r="Q158" s="67"/>
      <c r="R158" s="67"/>
      <c r="S158" s="67"/>
      <c r="T158" s="84"/>
      <c r="U158" s="67"/>
      <c r="V158" s="67"/>
      <c r="W158" s="112"/>
      <c r="X158" s="113"/>
      <c r="Y158" s="114"/>
      <c r="Z158" s="115"/>
      <c r="AA158" s="116"/>
      <c r="AB158" s="114"/>
      <c r="AC158" s="112"/>
      <c r="AD158" s="117"/>
      <c r="AE158" s="118"/>
      <c r="AF158" s="119"/>
      <c r="AG158" s="112"/>
      <c r="AH158" s="120"/>
      <c r="AI158" s="120"/>
      <c r="AJ158" s="121"/>
      <c r="AK158" s="121"/>
      <c r="AL158" s="121"/>
      <c r="AM158" s="117"/>
      <c r="AN158" s="112"/>
      <c r="AO158" s="112"/>
      <c r="AP158" s="110"/>
      <c r="AQ158" s="110"/>
      <c r="AR158" s="111"/>
      <c r="AS158" s="112"/>
      <c r="AT158" s="113"/>
      <c r="AU158" s="114"/>
      <c r="AV158" s="115"/>
      <c r="AW158" s="116"/>
      <c r="AX158" s="114"/>
      <c r="AY158" s="112"/>
      <c r="AZ158" s="117"/>
      <c r="BA158" s="118"/>
      <c r="BB158" s="119"/>
      <c r="BC158" s="112"/>
      <c r="BD158" s="120"/>
      <c r="BE158" s="120"/>
      <c r="BF158" s="121"/>
      <c r="BG158" s="121"/>
      <c r="BH158" s="121"/>
      <c r="BI158" s="117"/>
      <c r="BJ158" s="112"/>
      <c r="BK158" s="112"/>
      <c r="BL158" s="110"/>
      <c r="BM158" s="110"/>
      <c r="BN158" s="111"/>
      <c r="BO158" s="112"/>
      <c r="BP158" s="113"/>
      <c r="BQ158" s="114"/>
      <c r="BR158" s="115"/>
      <c r="BS158" s="116"/>
      <c r="BT158" s="114"/>
      <c r="BU158" s="112"/>
      <c r="BV158" s="117"/>
      <c r="BW158" s="118"/>
      <c r="BX158" s="119"/>
      <c r="BY158" s="112"/>
      <c r="BZ158" s="120"/>
      <c r="CA158" s="120"/>
      <c r="CB158" s="121"/>
      <c r="CC158" s="121"/>
      <c r="CD158" s="121"/>
      <c r="CE158" s="117"/>
      <c r="CF158" s="112"/>
      <c r="CG158" s="112"/>
      <c r="CH158" s="110"/>
      <c r="CI158" s="110"/>
      <c r="CJ158" s="111"/>
      <c r="CK158" s="112"/>
      <c r="CL158" s="113"/>
      <c r="CM158" s="114"/>
      <c r="CN158" s="115"/>
      <c r="CO158" s="116"/>
      <c r="CP158" s="114"/>
      <c r="CQ158" s="112"/>
      <c r="CR158" s="117"/>
      <c r="CS158" s="118"/>
      <c r="CT158" s="119"/>
      <c r="CU158" s="112"/>
      <c r="CV158" s="120"/>
      <c r="CW158" s="120"/>
      <c r="CX158" s="121"/>
      <c r="CY158" s="121"/>
      <c r="CZ158" s="121"/>
      <c r="DA158" s="117"/>
      <c r="DB158" s="112"/>
      <c r="DC158" s="112"/>
      <c r="DD158" s="110"/>
      <c r="DE158" s="110"/>
      <c r="DF158" s="111"/>
      <c r="DG158" s="112"/>
      <c r="DH158" s="113"/>
      <c r="DI158" s="114"/>
      <c r="DJ158" s="115"/>
      <c r="DK158" s="116"/>
      <c r="DL158" s="114"/>
      <c r="DM158" s="112"/>
      <c r="DN158" s="117"/>
      <c r="DO158" s="118"/>
      <c r="DP158" s="119"/>
      <c r="DQ158" s="112"/>
      <c r="DR158" s="120"/>
      <c r="DS158" s="120"/>
      <c r="DT158" s="121"/>
      <c r="DU158" s="121"/>
      <c r="DV158" s="121"/>
      <c r="DW158" s="117"/>
      <c r="DX158" s="112"/>
      <c r="DY158" s="112"/>
      <c r="DZ158" s="110"/>
      <c r="EA158" s="110"/>
      <c r="EB158" s="111"/>
      <c r="EC158" s="112"/>
      <c r="ED158" s="113"/>
      <c r="EE158" s="114"/>
      <c r="EF158" s="115"/>
      <c r="EG158" s="116"/>
      <c r="EH158" s="114"/>
      <c r="EI158" s="112"/>
      <c r="EJ158" s="117"/>
      <c r="EK158" s="118"/>
      <c r="EL158" s="119"/>
      <c r="EM158" s="112"/>
      <c r="EN158" s="120"/>
      <c r="EO158" s="110"/>
      <c r="EP158" s="111"/>
      <c r="EQ158" s="112"/>
      <c r="ER158" s="113"/>
      <c r="ES158" s="114"/>
      <c r="ET158" s="112"/>
      <c r="EU158" s="116"/>
      <c r="EV158" s="114"/>
      <c r="EW158" s="112"/>
      <c r="EX158" s="117"/>
      <c r="EY158" s="118"/>
      <c r="EZ158" s="119"/>
      <c r="FA158" s="112"/>
      <c r="FB158" s="120"/>
      <c r="FC158" s="120"/>
      <c r="FD158" s="121"/>
      <c r="FE158" s="121"/>
      <c r="FF158" s="121"/>
      <c r="FG158" s="117"/>
      <c r="FH158" s="112"/>
      <c r="FI158" s="110"/>
      <c r="FJ158" s="110"/>
      <c r="FK158" s="111"/>
      <c r="FL158" s="112"/>
      <c r="FM158" s="113"/>
      <c r="FN158" s="114"/>
      <c r="FO158" s="115"/>
      <c r="FP158" s="116"/>
      <c r="FQ158" s="114"/>
      <c r="FR158" s="112"/>
      <c r="FS158" s="117"/>
      <c r="FT158" s="118"/>
      <c r="FU158" s="119"/>
      <c r="FV158" s="112"/>
      <c r="FW158" s="120"/>
      <c r="FX158" s="120"/>
      <c r="FY158" s="121"/>
      <c r="FZ158" s="121"/>
      <c r="GA158" s="121"/>
      <c r="GB158" s="117"/>
      <c r="GC158" s="112"/>
      <c r="GD158" s="112"/>
      <c r="GE158" s="110"/>
      <c r="GF158" s="110"/>
      <c r="GG158" s="111"/>
      <c r="GH158" s="112"/>
      <c r="GI158" s="113"/>
      <c r="GJ158" s="114"/>
      <c r="GK158" s="115"/>
      <c r="GL158" s="116"/>
      <c r="GM158" s="114"/>
      <c r="GN158" s="112"/>
      <c r="GO158" s="117"/>
      <c r="GP158" s="118"/>
      <c r="GQ158" s="119"/>
      <c r="GR158" s="112"/>
      <c r="GS158" s="120"/>
      <c r="GT158" s="120"/>
      <c r="GU158" s="121"/>
      <c r="GV158" s="121"/>
      <c r="GW158" s="121"/>
      <c r="GX158" s="117"/>
      <c r="GY158" s="112"/>
      <c r="GZ158" s="112"/>
      <c r="HA158" s="110"/>
      <c r="HB158" s="110"/>
      <c r="HC158" s="111"/>
      <c r="HD158" s="112"/>
      <c r="HE158" s="113"/>
      <c r="HF158" s="114"/>
      <c r="HG158" s="115"/>
      <c r="HH158" s="116"/>
      <c r="HI158" s="114"/>
      <c r="HJ158" s="112"/>
      <c r="HK158" s="117"/>
      <c r="HL158" s="118"/>
      <c r="HM158" s="119"/>
      <c r="HN158" s="112"/>
      <c r="HO158" s="120"/>
      <c r="HP158" s="120"/>
      <c r="HQ158" s="121"/>
      <c r="HR158" s="121"/>
      <c r="HS158" s="121"/>
      <c r="HT158" s="117"/>
      <c r="HU158" s="112"/>
      <c r="HV158" s="112"/>
      <c r="HW158" s="110"/>
      <c r="HX158" s="110"/>
      <c r="HY158" s="111"/>
      <c r="HZ158" s="112"/>
      <c r="IA158" s="113"/>
      <c r="IB158" s="114"/>
      <c r="IC158" s="115"/>
      <c r="ID158" s="116"/>
      <c r="IE158" s="114"/>
      <c r="IF158" s="112"/>
      <c r="IG158" s="117"/>
      <c r="IH158" s="118"/>
      <c r="II158" s="119"/>
      <c r="IJ158" s="112"/>
      <c r="IK158" s="120"/>
      <c r="IL158" s="120"/>
      <c r="IM158" s="121"/>
      <c r="IN158" s="121"/>
      <c r="IO158" s="121"/>
      <c r="IP158" s="117"/>
      <c r="IQ158" s="112"/>
      <c r="IR158" s="112"/>
      <c r="IS158" s="110"/>
      <c r="IT158" s="110"/>
      <c r="IU158" s="111"/>
      <c r="IV158" s="112"/>
      <c r="IW158" s="113"/>
      <c r="IX158" s="114"/>
      <c r="IY158" s="115"/>
      <c r="IZ158" s="116"/>
      <c r="JA158" s="114"/>
      <c r="JB158" s="112"/>
      <c r="JC158" s="117"/>
      <c r="JD158" s="118"/>
      <c r="JE158" s="119"/>
      <c r="JF158" s="112"/>
      <c r="JG158" s="120"/>
      <c r="JH158" s="120"/>
      <c r="JI158" s="121"/>
      <c r="JJ158" s="121"/>
      <c r="JK158" s="121"/>
      <c r="JL158" s="117"/>
      <c r="JM158" s="112"/>
      <c r="JN158" s="112"/>
      <c r="JO158" s="110"/>
      <c r="JP158" s="110"/>
      <c r="JQ158" s="111"/>
      <c r="JR158" s="112"/>
      <c r="JS158" s="113"/>
      <c r="JT158" s="114"/>
      <c r="JU158" s="115"/>
      <c r="JV158" s="116"/>
      <c r="JW158" s="114"/>
      <c r="JX158" s="112"/>
      <c r="JY158" s="117"/>
      <c r="JZ158" s="118"/>
      <c r="KA158" s="119"/>
      <c r="KB158" s="112"/>
      <c r="KC158" s="120"/>
      <c r="KD158" s="120"/>
      <c r="KE158" s="121"/>
      <c r="KF158" s="121"/>
      <c r="KG158" s="121"/>
      <c r="KH158" s="117"/>
      <c r="KI158" s="112"/>
      <c r="KJ158" s="112"/>
      <c r="KK158" s="110"/>
      <c r="KL158" s="110"/>
      <c r="KM158" s="111"/>
      <c r="KN158" s="112"/>
      <c r="KO158" s="113"/>
      <c r="KP158" s="114"/>
      <c r="KQ158" s="115"/>
      <c r="KR158" s="116"/>
      <c r="KS158" s="114"/>
      <c r="KT158" s="112"/>
      <c r="KU158" s="117"/>
      <c r="KV158" s="118"/>
      <c r="KW158" s="119"/>
      <c r="KX158" s="112"/>
      <c r="KY158" s="120"/>
      <c r="KZ158" s="120"/>
      <c r="LA158" s="121"/>
      <c r="LB158" s="121"/>
      <c r="LC158" s="121"/>
      <c r="LD158" s="117"/>
      <c r="LE158" s="112"/>
      <c r="LF158" s="112"/>
      <c r="LG158" s="110"/>
      <c r="LH158" s="110"/>
      <c r="LI158" s="111"/>
      <c r="LJ158" s="112"/>
      <c r="LK158" s="113"/>
      <c r="LL158" s="114"/>
      <c r="LM158" s="115"/>
      <c r="LN158" s="116"/>
      <c r="LO158" s="114"/>
      <c r="LP158" s="112"/>
      <c r="LQ158" s="117"/>
      <c r="LR158" s="118"/>
      <c r="LS158" s="119"/>
      <c r="LT158" s="112"/>
      <c r="LU158" s="120"/>
      <c r="LV158" s="120"/>
      <c r="LW158" s="121"/>
      <c r="LX158" s="121"/>
      <c r="LY158" s="121"/>
      <c r="LZ158" s="117"/>
      <c r="MA158" s="112"/>
      <c r="MB158" s="112"/>
      <c r="MC158" s="110"/>
      <c r="MD158" s="110"/>
      <c r="ME158" s="111"/>
      <c r="MF158" s="112"/>
      <c r="MG158" s="113"/>
      <c r="MH158" s="114"/>
      <c r="MI158" s="115"/>
      <c r="MJ158" s="116"/>
      <c r="MK158" s="114"/>
      <c r="ML158" s="112"/>
      <c r="MM158" s="117"/>
      <c r="MN158" s="118"/>
      <c r="MO158" s="119"/>
      <c r="MP158" s="112"/>
      <c r="MQ158" s="120"/>
      <c r="MR158" s="120"/>
      <c r="MS158" s="121"/>
      <c r="MT158" s="121"/>
      <c r="MU158" s="121"/>
      <c r="MV158" s="117"/>
      <c r="MW158" s="112"/>
      <c r="MX158" s="112"/>
      <c r="MY158" s="110"/>
      <c r="MZ158" s="110"/>
      <c r="NA158" s="111"/>
      <c r="NB158" s="112"/>
      <c r="NC158" s="113"/>
      <c r="ND158" s="114"/>
      <c r="NE158" s="115"/>
      <c r="NF158" s="116"/>
      <c r="NG158" s="114"/>
      <c r="NH158" s="112"/>
      <c r="NI158" s="117"/>
      <c r="NJ158" s="118"/>
      <c r="NK158" s="119"/>
      <c r="NL158" s="112"/>
      <c r="NM158" s="120"/>
      <c r="NN158" s="120"/>
      <c r="NO158" s="121"/>
      <c r="NP158" s="121"/>
      <c r="NQ158" s="121"/>
      <c r="NR158" s="117"/>
      <c r="NS158" s="112"/>
      <c r="NT158" s="112"/>
      <c r="NU158" s="110"/>
      <c r="NV158" s="110"/>
      <c r="NW158" s="111"/>
      <c r="NX158" s="112"/>
      <c r="NY158" s="113"/>
      <c r="NZ158" s="114"/>
      <c r="OA158" s="115"/>
      <c r="OB158" s="116"/>
      <c r="OC158" s="114"/>
      <c r="OD158" s="112"/>
      <c r="OE158" s="117"/>
      <c r="OF158" s="118"/>
      <c r="OG158" s="119"/>
      <c r="OH158" s="112"/>
      <c r="OI158" s="120"/>
      <c r="OJ158" s="120"/>
      <c r="OK158" s="121"/>
      <c r="OL158" s="121"/>
      <c r="OM158" s="121"/>
      <c r="ON158" s="117"/>
      <c r="OO158" s="112"/>
      <c r="OP158" s="112"/>
      <c r="OQ158" s="110"/>
      <c r="OR158" s="110"/>
      <c r="OS158" s="111"/>
      <c r="OT158" s="112"/>
      <c r="OU158" s="113"/>
      <c r="OV158" s="114"/>
      <c r="OW158" s="115"/>
      <c r="OX158" s="116"/>
      <c r="OY158" s="114"/>
      <c r="OZ158" s="112"/>
      <c r="PA158" s="117"/>
      <c r="PB158" s="118"/>
      <c r="PC158" s="119"/>
      <c r="PD158" s="112"/>
      <c r="PE158" s="120"/>
      <c r="PF158" s="120"/>
      <c r="PG158" s="121"/>
      <c r="PH158" s="121"/>
      <c r="PI158" s="121"/>
      <c r="PJ158" s="117"/>
      <c r="PK158" s="112"/>
      <c r="PL158" s="112"/>
      <c r="PM158" s="110"/>
      <c r="PN158" s="110"/>
      <c r="PO158" s="111"/>
      <c r="PP158" s="112"/>
      <c r="PQ158" s="113"/>
      <c r="PR158" s="114"/>
      <c r="PS158" s="115"/>
      <c r="PT158" s="116"/>
      <c r="PU158" s="114"/>
      <c r="PV158" s="112"/>
      <c r="PW158" s="117"/>
      <c r="PX158" s="118"/>
      <c r="PY158" s="119"/>
      <c r="PZ158" s="112"/>
      <c r="QA158" s="120"/>
      <c r="QB158" s="120"/>
      <c r="QC158" s="121"/>
      <c r="QD158" s="121"/>
      <c r="QE158" s="121"/>
      <c r="QF158" s="117"/>
      <c r="QG158" s="112"/>
      <c r="QH158" s="112"/>
      <c r="QI158" s="110"/>
      <c r="QJ158" s="110"/>
      <c r="QK158" s="111"/>
      <c r="QL158" s="112"/>
      <c r="QM158" s="113"/>
      <c r="QN158" s="114"/>
      <c r="QO158" s="115"/>
      <c r="QP158" s="116"/>
      <c r="QQ158" s="114"/>
      <c r="QR158" s="112"/>
      <c r="QS158" s="117"/>
      <c r="QT158" s="118"/>
      <c r="QU158" s="119"/>
      <c r="QV158" s="112"/>
      <c r="QW158" s="120"/>
    </row>
    <row r="159" spans="1:465" s="122" customFormat="1" ht="15" customHeight="1">
      <c r="A159" s="67">
        <v>154</v>
      </c>
      <c r="B159" s="68">
        <v>46246</v>
      </c>
      <c r="C159" s="67" t="s">
        <v>131</v>
      </c>
      <c r="D159" s="67" t="s">
        <v>106</v>
      </c>
      <c r="E159" s="67"/>
      <c r="F159" s="67" t="s">
        <v>269</v>
      </c>
      <c r="G159" s="67"/>
      <c r="H159" s="67" t="s">
        <v>105</v>
      </c>
      <c r="I159" s="67" t="s">
        <v>285</v>
      </c>
      <c r="J159" s="67"/>
      <c r="K159" s="67"/>
      <c r="L159" s="125" t="s">
        <v>286</v>
      </c>
      <c r="M159" s="67"/>
      <c r="N159" s="67"/>
      <c r="O159" s="67"/>
      <c r="P159" s="67"/>
      <c r="Q159" s="67"/>
      <c r="R159" s="67"/>
      <c r="S159" s="67"/>
      <c r="T159" s="84"/>
      <c r="U159" s="67"/>
      <c r="V159" s="67"/>
      <c r="W159" s="112"/>
      <c r="X159" s="113"/>
      <c r="Y159" s="114"/>
      <c r="Z159" s="115"/>
      <c r="AA159" s="116"/>
      <c r="AB159" s="114"/>
      <c r="AC159" s="112"/>
      <c r="AD159" s="117"/>
      <c r="AE159" s="118"/>
      <c r="AF159" s="119"/>
      <c r="AG159" s="112"/>
      <c r="AH159" s="120"/>
      <c r="AI159" s="120"/>
      <c r="AJ159" s="121"/>
      <c r="AK159" s="121"/>
      <c r="AL159" s="121"/>
      <c r="AM159" s="117"/>
      <c r="AN159" s="112"/>
      <c r="AO159" s="112"/>
      <c r="AP159" s="110"/>
      <c r="AQ159" s="110"/>
      <c r="AR159" s="111"/>
      <c r="AS159" s="112"/>
      <c r="AT159" s="113"/>
      <c r="AU159" s="114"/>
      <c r="AV159" s="115"/>
      <c r="AW159" s="116"/>
      <c r="AX159" s="114"/>
      <c r="AY159" s="112"/>
      <c r="AZ159" s="117"/>
      <c r="BA159" s="118"/>
      <c r="BB159" s="119"/>
      <c r="BC159" s="112"/>
      <c r="BD159" s="120"/>
      <c r="BE159" s="120"/>
      <c r="BF159" s="121"/>
      <c r="BG159" s="121"/>
      <c r="BH159" s="121"/>
      <c r="BI159" s="117"/>
      <c r="BJ159" s="112"/>
      <c r="BK159" s="112"/>
      <c r="BL159" s="110"/>
      <c r="BM159" s="110"/>
      <c r="BN159" s="111"/>
      <c r="BO159" s="112"/>
      <c r="BP159" s="113"/>
      <c r="BQ159" s="114"/>
      <c r="BR159" s="115"/>
      <c r="BS159" s="116"/>
      <c r="BT159" s="114"/>
      <c r="BU159" s="112"/>
      <c r="BV159" s="117"/>
      <c r="BW159" s="118"/>
      <c r="BX159" s="119"/>
      <c r="BY159" s="112"/>
      <c r="BZ159" s="120"/>
      <c r="CA159" s="120"/>
      <c r="CB159" s="121"/>
      <c r="CC159" s="121"/>
      <c r="CD159" s="121"/>
      <c r="CE159" s="117"/>
      <c r="CF159" s="112"/>
      <c r="CG159" s="112"/>
      <c r="CH159" s="110"/>
      <c r="CI159" s="110"/>
      <c r="CJ159" s="111"/>
      <c r="CK159" s="112"/>
      <c r="CL159" s="113"/>
      <c r="CM159" s="114"/>
      <c r="CN159" s="115"/>
      <c r="CO159" s="116"/>
      <c r="CP159" s="114"/>
      <c r="CQ159" s="112"/>
      <c r="CR159" s="117"/>
      <c r="CS159" s="118"/>
      <c r="CT159" s="119"/>
      <c r="CU159" s="112"/>
      <c r="CV159" s="120"/>
      <c r="CW159" s="120"/>
      <c r="CX159" s="121"/>
      <c r="CY159" s="121"/>
      <c r="CZ159" s="121"/>
      <c r="DA159" s="117"/>
      <c r="DB159" s="112"/>
      <c r="DC159" s="112"/>
      <c r="DD159" s="110"/>
      <c r="DE159" s="110"/>
      <c r="DF159" s="111"/>
      <c r="DG159" s="112"/>
      <c r="DH159" s="113"/>
      <c r="DI159" s="114"/>
      <c r="DJ159" s="115"/>
      <c r="DK159" s="116"/>
      <c r="DL159" s="114"/>
      <c r="DM159" s="112"/>
      <c r="DN159" s="117"/>
      <c r="DO159" s="118"/>
      <c r="DP159" s="119"/>
      <c r="DQ159" s="112"/>
      <c r="DR159" s="120"/>
      <c r="DS159" s="120"/>
      <c r="DT159" s="121"/>
      <c r="DU159" s="121"/>
      <c r="DV159" s="121"/>
      <c r="DW159" s="117"/>
      <c r="DX159" s="112"/>
      <c r="DY159" s="112"/>
      <c r="DZ159" s="110"/>
      <c r="EA159" s="110"/>
      <c r="EB159" s="111"/>
      <c r="EC159" s="112"/>
      <c r="ED159" s="113"/>
      <c r="EE159" s="114"/>
      <c r="EF159" s="115"/>
      <c r="EG159" s="116"/>
      <c r="EH159" s="114"/>
      <c r="EI159" s="112"/>
      <c r="EJ159" s="117"/>
      <c r="EK159" s="118"/>
      <c r="EL159" s="119"/>
      <c r="EM159" s="112"/>
      <c r="EN159" s="120"/>
      <c r="EO159" s="110"/>
      <c r="EP159" s="111"/>
      <c r="EQ159" s="112"/>
      <c r="ER159" s="113"/>
      <c r="ES159" s="114"/>
      <c r="ET159" s="112"/>
      <c r="EU159" s="116"/>
      <c r="EV159" s="114"/>
      <c r="EW159" s="112"/>
      <c r="EX159" s="117"/>
      <c r="EY159" s="118"/>
      <c r="EZ159" s="119"/>
      <c r="FA159" s="112"/>
      <c r="FB159" s="120"/>
      <c r="FC159" s="120"/>
      <c r="FD159" s="121"/>
      <c r="FE159" s="121"/>
      <c r="FF159" s="121"/>
      <c r="FG159" s="117"/>
      <c r="FH159" s="112"/>
      <c r="FI159" s="110"/>
      <c r="FJ159" s="110"/>
      <c r="FK159" s="111"/>
      <c r="FL159" s="112"/>
      <c r="FM159" s="113"/>
      <c r="FN159" s="114"/>
      <c r="FO159" s="115"/>
      <c r="FP159" s="116"/>
      <c r="FQ159" s="114"/>
      <c r="FR159" s="112"/>
      <c r="FS159" s="117"/>
      <c r="FT159" s="118"/>
      <c r="FU159" s="119"/>
      <c r="FV159" s="112"/>
      <c r="FW159" s="120"/>
      <c r="FX159" s="120"/>
      <c r="FY159" s="121"/>
      <c r="FZ159" s="121"/>
      <c r="GA159" s="121"/>
      <c r="GB159" s="117"/>
      <c r="GC159" s="112"/>
      <c r="GD159" s="112"/>
      <c r="GE159" s="110"/>
      <c r="GF159" s="110"/>
      <c r="GG159" s="111"/>
      <c r="GH159" s="112"/>
      <c r="GI159" s="113"/>
      <c r="GJ159" s="114"/>
      <c r="GK159" s="115"/>
      <c r="GL159" s="116"/>
      <c r="GM159" s="114"/>
      <c r="GN159" s="112"/>
      <c r="GO159" s="117"/>
      <c r="GP159" s="118"/>
      <c r="GQ159" s="119"/>
      <c r="GR159" s="112"/>
      <c r="GS159" s="120"/>
      <c r="GT159" s="120"/>
      <c r="GU159" s="121"/>
      <c r="GV159" s="121"/>
      <c r="GW159" s="121"/>
      <c r="GX159" s="117"/>
      <c r="GY159" s="112"/>
      <c r="GZ159" s="112"/>
      <c r="HA159" s="110"/>
      <c r="HB159" s="110"/>
      <c r="HC159" s="111"/>
      <c r="HD159" s="112"/>
      <c r="HE159" s="113"/>
      <c r="HF159" s="114"/>
      <c r="HG159" s="115"/>
      <c r="HH159" s="116"/>
      <c r="HI159" s="114"/>
      <c r="HJ159" s="112"/>
      <c r="HK159" s="117"/>
      <c r="HL159" s="118"/>
      <c r="HM159" s="119"/>
      <c r="HN159" s="112"/>
      <c r="HO159" s="120"/>
      <c r="HP159" s="120"/>
      <c r="HQ159" s="121"/>
      <c r="HR159" s="121"/>
      <c r="HS159" s="121"/>
      <c r="HT159" s="117"/>
      <c r="HU159" s="112"/>
      <c r="HV159" s="112"/>
      <c r="HW159" s="110"/>
      <c r="HX159" s="110"/>
      <c r="HY159" s="111"/>
      <c r="HZ159" s="112"/>
      <c r="IA159" s="113"/>
      <c r="IB159" s="114"/>
      <c r="IC159" s="115"/>
      <c r="ID159" s="116"/>
      <c r="IE159" s="114"/>
      <c r="IF159" s="112"/>
      <c r="IG159" s="117"/>
      <c r="IH159" s="118"/>
      <c r="II159" s="119"/>
      <c r="IJ159" s="112"/>
      <c r="IK159" s="120"/>
      <c r="IL159" s="120"/>
      <c r="IM159" s="121"/>
      <c r="IN159" s="121"/>
      <c r="IO159" s="121"/>
      <c r="IP159" s="117"/>
      <c r="IQ159" s="112"/>
      <c r="IR159" s="112"/>
      <c r="IS159" s="110"/>
      <c r="IT159" s="110"/>
      <c r="IU159" s="111"/>
      <c r="IV159" s="112"/>
      <c r="IW159" s="113"/>
      <c r="IX159" s="114"/>
      <c r="IY159" s="115"/>
      <c r="IZ159" s="116"/>
      <c r="JA159" s="114"/>
      <c r="JB159" s="112"/>
      <c r="JC159" s="117"/>
      <c r="JD159" s="118"/>
      <c r="JE159" s="119"/>
      <c r="JF159" s="112"/>
      <c r="JG159" s="120"/>
      <c r="JH159" s="120"/>
      <c r="JI159" s="121"/>
      <c r="JJ159" s="121"/>
      <c r="JK159" s="121"/>
      <c r="JL159" s="117"/>
      <c r="JM159" s="112"/>
      <c r="JN159" s="112"/>
      <c r="JO159" s="110"/>
      <c r="JP159" s="110"/>
      <c r="JQ159" s="111"/>
      <c r="JR159" s="112"/>
      <c r="JS159" s="113"/>
      <c r="JT159" s="114"/>
      <c r="JU159" s="115"/>
      <c r="JV159" s="116"/>
      <c r="JW159" s="114"/>
      <c r="JX159" s="112"/>
      <c r="JY159" s="117"/>
      <c r="JZ159" s="118"/>
      <c r="KA159" s="119"/>
      <c r="KB159" s="112"/>
      <c r="KC159" s="120"/>
      <c r="KD159" s="120"/>
      <c r="KE159" s="121"/>
      <c r="KF159" s="121"/>
      <c r="KG159" s="121"/>
      <c r="KH159" s="117"/>
      <c r="KI159" s="112"/>
      <c r="KJ159" s="112"/>
      <c r="KK159" s="110"/>
      <c r="KL159" s="110"/>
      <c r="KM159" s="111"/>
      <c r="KN159" s="112"/>
      <c r="KO159" s="113"/>
      <c r="KP159" s="114"/>
      <c r="KQ159" s="115"/>
      <c r="KR159" s="116"/>
      <c r="KS159" s="114"/>
      <c r="KT159" s="112"/>
      <c r="KU159" s="117"/>
      <c r="KV159" s="118"/>
      <c r="KW159" s="119"/>
      <c r="KX159" s="112"/>
      <c r="KY159" s="120"/>
      <c r="KZ159" s="120"/>
      <c r="LA159" s="121"/>
      <c r="LB159" s="121"/>
      <c r="LC159" s="121"/>
      <c r="LD159" s="117"/>
      <c r="LE159" s="112"/>
      <c r="LF159" s="112"/>
      <c r="LG159" s="110"/>
      <c r="LH159" s="110"/>
      <c r="LI159" s="111"/>
      <c r="LJ159" s="112"/>
      <c r="LK159" s="113"/>
      <c r="LL159" s="114"/>
      <c r="LM159" s="115"/>
      <c r="LN159" s="116"/>
      <c r="LO159" s="114"/>
      <c r="LP159" s="112"/>
      <c r="LQ159" s="117"/>
      <c r="LR159" s="118"/>
      <c r="LS159" s="119"/>
      <c r="LT159" s="112"/>
      <c r="LU159" s="120"/>
      <c r="LV159" s="120"/>
      <c r="LW159" s="121"/>
      <c r="LX159" s="121"/>
      <c r="LY159" s="121"/>
      <c r="LZ159" s="117"/>
      <c r="MA159" s="112"/>
      <c r="MB159" s="112"/>
      <c r="MC159" s="110"/>
      <c r="MD159" s="110"/>
      <c r="ME159" s="111"/>
      <c r="MF159" s="112"/>
      <c r="MG159" s="113"/>
      <c r="MH159" s="114"/>
      <c r="MI159" s="115"/>
      <c r="MJ159" s="116"/>
      <c r="MK159" s="114"/>
      <c r="ML159" s="112"/>
      <c r="MM159" s="117"/>
      <c r="MN159" s="118"/>
      <c r="MO159" s="119"/>
      <c r="MP159" s="112"/>
      <c r="MQ159" s="120"/>
      <c r="MR159" s="120"/>
      <c r="MS159" s="121"/>
      <c r="MT159" s="121"/>
      <c r="MU159" s="121"/>
      <c r="MV159" s="117"/>
      <c r="MW159" s="112"/>
      <c r="MX159" s="112"/>
      <c r="MY159" s="110"/>
      <c r="MZ159" s="110"/>
      <c r="NA159" s="111"/>
      <c r="NB159" s="112"/>
      <c r="NC159" s="113"/>
      <c r="ND159" s="114"/>
      <c r="NE159" s="115"/>
      <c r="NF159" s="116"/>
      <c r="NG159" s="114"/>
      <c r="NH159" s="112"/>
      <c r="NI159" s="117"/>
      <c r="NJ159" s="118"/>
      <c r="NK159" s="119"/>
      <c r="NL159" s="112"/>
      <c r="NM159" s="120"/>
      <c r="NN159" s="120"/>
      <c r="NO159" s="121"/>
      <c r="NP159" s="121"/>
      <c r="NQ159" s="121"/>
      <c r="NR159" s="117"/>
      <c r="NS159" s="112"/>
      <c r="NT159" s="112"/>
      <c r="NU159" s="110"/>
      <c r="NV159" s="110"/>
      <c r="NW159" s="111"/>
      <c r="NX159" s="112"/>
      <c r="NY159" s="113"/>
      <c r="NZ159" s="114"/>
      <c r="OA159" s="115"/>
      <c r="OB159" s="116"/>
      <c r="OC159" s="114"/>
      <c r="OD159" s="112"/>
      <c r="OE159" s="117"/>
      <c r="OF159" s="118"/>
      <c r="OG159" s="119"/>
      <c r="OH159" s="112"/>
      <c r="OI159" s="120"/>
      <c r="OJ159" s="120"/>
      <c r="OK159" s="121"/>
      <c r="OL159" s="121"/>
      <c r="OM159" s="121"/>
      <c r="ON159" s="117"/>
      <c r="OO159" s="112"/>
      <c r="OP159" s="112"/>
      <c r="OQ159" s="110"/>
      <c r="OR159" s="110"/>
      <c r="OS159" s="111"/>
      <c r="OT159" s="112"/>
      <c r="OU159" s="113"/>
      <c r="OV159" s="114"/>
      <c r="OW159" s="115"/>
      <c r="OX159" s="116"/>
      <c r="OY159" s="114"/>
      <c r="OZ159" s="112"/>
      <c r="PA159" s="117"/>
      <c r="PB159" s="118"/>
      <c r="PC159" s="119"/>
      <c r="PD159" s="112"/>
      <c r="PE159" s="120"/>
      <c r="PF159" s="120"/>
      <c r="PG159" s="121"/>
      <c r="PH159" s="121"/>
      <c r="PI159" s="121"/>
      <c r="PJ159" s="117"/>
      <c r="PK159" s="112"/>
      <c r="PL159" s="112"/>
      <c r="PM159" s="110"/>
      <c r="PN159" s="110"/>
      <c r="PO159" s="111"/>
      <c r="PP159" s="112"/>
      <c r="PQ159" s="113"/>
      <c r="PR159" s="114"/>
      <c r="PS159" s="115"/>
      <c r="PT159" s="116"/>
      <c r="PU159" s="114"/>
      <c r="PV159" s="112"/>
      <c r="PW159" s="117"/>
      <c r="PX159" s="118"/>
      <c r="PY159" s="119"/>
      <c r="PZ159" s="112"/>
      <c r="QA159" s="120"/>
      <c r="QB159" s="120"/>
      <c r="QC159" s="121"/>
      <c r="QD159" s="121"/>
      <c r="QE159" s="121"/>
      <c r="QF159" s="117"/>
      <c r="QG159" s="112"/>
      <c r="QH159" s="112"/>
      <c r="QI159" s="110"/>
      <c r="QJ159" s="110"/>
      <c r="QK159" s="111"/>
      <c r="QL159" s="112"/>
      <c r="QM159" s="113"/>
      <c r="QN159" s="114"/>
      <c r="QO159" s="115"/>
      <c r="QP159" s="116"/>
      <c r="QQ159" s="114"/>
      <c r="QR159" s="112"/>
      <c r="QS159" s="117"/>
      <c r="QT159" s="118"/>
      <c r="QU159" s="119"/>
      <c r="QV159" s="112"/>
      <c r="QW159" s="120"/>
    </row>
    <row r="160" spans="1:465" ht="15" customHeight="1">
      <c r="A160" s="67">
        <v>155</v>
      </c>
      <c r="B160" s="68">
        <v>46248</v>
      </c>
      <c r="C160" s="67" t="s">
        <v>131</v>
      </c>
      <c r="D160" s="67" t="s">
        <v>106</v>
      </c>
      <c r="E160" s="67"/>
      <c r="F160" s="67" t="s">
        <v>269</v>
      </c>
      <c r="G160" s="67"/>
      <c r="H160" s="67" t="s">
        <v>105</v>
      </c>
      <c r="I160" s="67" t="s">
        <v>106</v>
      </c>
      <c r="J160" s="67"/>
      <c r="K160" s="67"/>
      <c r="L160" s="125" t="s">
        <v>287</v>
      </c>
      <c r="M160" s="67"/>
      <c r="N160" s="67"/>
      <c r="O160" s="67"/>
      <c r="P160" s="67"/>
      <c r="Q160" s="67"/>
      <c r="R160" s="67"/>
      <c r="S160" s="67"/>
      <c r="T160" s="84"/>
      <c r="U160" s="67"/>
      <c r="V160" s="67"/>
      <c r="W160" s="21"/>
      <c r="X160" s="67"/>
      <c r="Y160" s="90"/>
      <c r="Z160" s="94"/>
      <c r="AA160" s="95"/>
      <c r="AB160" s="90"/>
      <c r="AC160" s="21"/>
      <c r="AD160" s="20"/>
      <c r="AE160" s="96"/>
      <c r="AF160" s="66"/>
      <c r="AG160" s="21"/>
      <c r="AH160" s="22"/>
      <c r="AI160" s="22"/>
      <c r="AJ160" s="97"/>
      <c r="AK160" s="97"/>
      <c r="AL160" s="97"/>
      <c r="AM160" s="20"/>
      <c r="AN160" s="21"/>
      <c r="AO160" s="21"/>
      <c r="AP160" s="18"/>
      <c r="AQ160" s="18"/>
      <c r="AR160" s="68"/>
      <c r="AS160" s="21"/>
      <c r="AT160" s="67"/>
      <c r="AU160" s="90"/>
      <c r="AV160" s="94"/>
      <c r="AW160" s="95"/>
      <c r="AX160" s="90"/>
      <c r="AY160" s="21"/>
      <c r="AZ160" s="20"/>
      <c r="BA160" s="96"/>
      <c r="BB160" s="66"/>
      <c r="BC160" s="21"/>
      <c r="BD160" s="22"/>
      <c r="BE160" s="22"/>
      <c r="BF160" s="97"/>
      <c r="BG160" s="97"/>
      <c r="BH160" s="97"/>
      <c r="BI160" s="20"/>
      <c r="BJ160" s="21"/>
      <c r="BK160" s="21"/>
      <c r="BL160" s="18"/>
      <c r="BM160" s="18"/>
      <c r="BN160" s="68"/>
      <c r="BO160" s="21"/>
      <c r="BP160" s="67"/>
      <c r="BQ160" s="90"/>
      <c r="BR160" s="94"/>
      <c r="BS160" s="95"/>
      <c r="BT160" s="90"/>
      <c r="BU160" s="21"/>
      <c r="BV160" s="20"/>
      <c r="BW160" s="96"/>
      <c r="BX160" s="66"/>
      <c r="BY160" s="21"/>
      <c r="BZ160" s="22"/>
      <c r="CA160" s="22"/>
      <c r="CB160" s="97"/>
      <c r="CC160" s="97"/>
      <c r="CD160" s="97"/>
      <c r="CE160" s="20"/>
      <c r="CF160" s="21"/>
      <c r="CG160" s="21"/>
      <c r="CH160" s="18"/>
      <c r="CI160" s="18"/>
      <c r="CJ160" s="68"/>
      <c r="CK160" s="21"/>
      <c r="CL160" s="67"/>
      <c r="CM160" s="90"/>
      <c r="CN160" s="94"/>
      <c r="CO160" s="95"/>
      <c r="CP160" s="90"/>
      <c r="CQ160" s="21"/>
      <c r="CR160" s="20"/>
      <c r="CS160" s="96"/>
      <c r="CT160" s="66"/>
      <c r="CU160" s="21"/>
      <c r="CV160" s="22"/>
      <c r="CW160" s="22"/>
      <c r="CX160" s="97"/>
      <c r="CY160" s="97"/>
      <c r="CZ160" s="97"/>
      <c r="DA160" s="20"/>
      <c r="DB160" s="21"/>
      <c r="DC160" s="21"/>
      <c r="DD160" s="18"/>
      <c r="DE160" s="18"/>
      <c r="DF160" s="68"/>
      <c r="DG160" s="21"/>
      <c r="DH160" s="67"/>
      <c r="DI160" s="90"/>
      <c r="DJ160" s="94"/>
      <c r="DK160" s="95"/>
      <c r="DL160" s="90"/>
      <c r="DM160" s="21"/>
      <c r="DN160" s="20"/>
      <c r="DO160" s="96"/>
      <c r="DP160" s="66"/>
      <c r="DQ160" s="21"/>
      <c r="DR160" s="22"/>
      <c r="DS160" s="22"/>
      <c r="DT160" s="97"/>
      <c r="DU160" s="97"/>
      <c r="DV160" s="97"/>
      <c r="DW160" s="20"/>
      <c r="DX160" s="21"/>
      <c r="DY160" s="21"/>
      <c r="DZ160" s="18"/>
      <c r="EA160" s="18"/>
      <c r="EB160" s="68"/>
      <c r="EC160" s="21"/>
      <c r="ED160" s="67"/>
      <c r="EE160" s="90"/>
      <c r="EF160" s="94"/>
      <c r="EG160" s="95"/>
      <c r="EH160" s="90"/>
      <c r="EI160" s="21"/>
      <c r="EJ160" s="20"/>
      <c r="EK160" s="96"/>
      <c r="EL160" s="66"/>
      <c r="EM160" s="21"/>
      <c r="EN160" s="22"/>
      <c r="EO160" s="18"/>
      <c r="EP160" s="68"/>
      <c r="EQ160" s="21"/>
      <c r="ER160" s="67"/>
      <c r="ES160" s="90"/>
      <c r="ET160" s="21"/>
      <c r="EU160" s="95"/>
      <c r="EV160" s="90"/>
      <c r="EW160" s="21"/>
      <c r="EX160" s="20"/>
      <c r="EY160" s="96"/>
      <c r="EZ160" s="66"/>
      <c r="FA160" s="21"/>
      <c r="FB160" s="22"/>
      <c r="FC160" s="22"/>
      <c r="FD160" s="97"/>
      <c r="FE160" s="97"/>
      <c r="FF160" s="97"/>
      <c r="FG160" s="20"/>
      <c r="FH160" s="21"/>
      <c r="FI160" s="18"/>
      <c r="FJ160" s="18"/>
      <c r="FK160" s="68"/>
      <c r="FL160" s="21"/>
      <c r="FM160" s="67"/>
      <c r="FN160" s="90"/>
      <c r="FO160" s="94"/>
      <c r="FP160" s="95"/>
      <c r="FQ160" s="90"/>
      <c r="FR160" s="21"/>
      <c r="FS160" s="20"/>
      <c r="FT160" s="96"/>
      <c r="FU160" s="66"/>
      <c r="FV160" s="21"/>
      <c r="FW160" s="22"/>
      <c r="FX160" s="22"/>
      <c r="FY160" s="97"/>
      <c r="FZ160" s="97"/>
      <c r="GA160" s="97"/>
      <c r="GB160" s="20"/>
      <c r="GC160" s="21"/>
      <c r="GD160" s="21"/>
      <c r="GE160" s="18"/>
      <c r="GF160" s="18"/>
      <c r="GG160" s="68"/>
      <c r="GH160" s="21"/>
      <c r="GI160" s="67"/>
      <c r="GJ160" s="90"/>
      <c r="GK160" s="94"/>
      <c r="GL160" s="95"/>
      <c r="GM160" s="90"/>
      <c r="GN160" s="21"/>
      <c r="GO160" s="20"/>
      <c r="GP160" s="96"/>
      <c r="GQ160" s="66"/>
      <c r="GR160" s="21"/>
      <c r="GS160" s="22"/>
      <c r="GT160" s="22"/>
      <c r="GU160" s="97"/>
      <c r="GV160" s="97"/>
      <c r="GW160" s="97"/>
      <c r="GX160" s="20"/>
      <c r="GY160" s="21"/>
      <c r="GZ160" s="21"/>
      <c r="HA160" s="18"/>
      <c r="HB160" s="18"/>
      <c r="HC160" s="68"/>
      <c r="HD160" s="21"/>
      <c r="HE160" s="67"/>
      <c r="HF160" s="90"/>
      <c r="HG160" s="94"/>
      <c r="HH160" s="95"/>
      <c r="HI160" s="90"/>
      <c r="HJ160" s="21"/>
      <c r="HK160" s="20"/>
      <c r="HL160" s="96"/>
      <c r="HM160" s="66"/>
      <c r="HN160" s="21"/>
      <c r="HO160" s="22"/>
      <c r="HP160" s="22"/>
      <c r="HQ160" s="97"/>
      <c r="HR160" s="97"/>
      <c r="HS160" s="97"/>
      <c r="HT160" s="20"/>
      <c r="HU160" s="21"/>
      <c r="HV160" s="21"/>
      <c r="HW160" s="18"/>
      <c r="HX160" s="18"/>
      <c r="HY160" s="68"/>
      <c r="HZ160" s="21"/>
      <c r="IA160" s="67"/>
      <c r="IB160" s="90"/>
      <c r="IC160" s="94"/>
      <c r="ID160" s="95"/>
      <c r="IE160" s="90"/>
      <c r="IF160" s="21"/>
      <c r="IG160" s="20"/>
      <c r="IH160" s="96"/>
      <c r="II160" s="66"/>
      <c r="IJ160" s="21"/>
      <c r="IK160" s="22"/>
      <c r="IL160" s="22"/>
      <c r="IM160" s="97"/>
      <c r="IN160" s="97"/>
      <c r="IO160" s="97"/>
      <c r="IP160" s="20"/>
      <c r="IQ160" s="21"/>
      <c r="IR160" s="21"/>
      <c r="IS160" s="18"/>
      <c r="IT160" s="18"/>
      <c r="IU160" s="68"/>
      <c r="IV160" s="21"/>
      <c r="IW160" s="67"/>
      <c r="IX160" s="90"/>
      <c r="IY160" s="94"/>
      <c r="IZ160" s="95"/>
      <c r="JA160" s="90"/>
      <c r="JB160" s="21"/>
      <c r="JC160" s="20"/>
      <c r="JD160" s="96"/>
      <c r="JE160" s="66"/>
      <c r="JF160" s="21"/>
      <c r="JG160" s="22"/>
      <c r="JH160" s="22"/>
      <c r="JI160" s="97"/>
      <c r="JJ160" s="97"/>
      <c r="JK160" s="97"/>
      <c r="JL160" s="20"/>
      <c r="JM160" s="21"/>
      <c r="JN160" s="21"/>
      <c r="JO160" s="18"/>
      <c r="JP160" s="18"/>
      <c r="JQ160" s="68"/>
      <c r="JR160" s="21"/>
      <c r="JS160" s="67"/>
      <c r="JT160" s="90"/>
      <c r="JU160" s="94"/>
      <c r="JV160" s="95"/>
      <c r="JW160" s="90"/>
      <c r="JX160" s="21"/>
      <c r="JY160" s="20"/>
      <c r="JZ160" s="96"/>
      <c r="KA160" s="66"/>
      <c r="KB160" s="21"/>
      <c r="KC160" s="22"/>
      <c r="KD160" s="22"/>
      <c r="KE160" s="97"/>
      <c r="KF160" s="97"/>
      <c r="KG160" s="97"/>
      <c r="KH160" s="20"/>
      <c r="KI160" s="21"/>
      <c r="KJ160" s="21"/>
      <c r="KK160" s="18"/>
      <c r="KL160" s="18"/>
      <c r="KM160" s="68"/>
      <c r="KN160" s="21"/>
      <c r="KO160" s="67"/>
      <c r="KP160" s="90"/>
      <c r="KQ160" s="94"/>
      <c r="KR160" s="95"/>
      <c r="KS160" s="90"/>
      <c r="KT160" s="21"/>
      <c r="KU160" s="20"/>
      <c r="KV160" s="96"/>
      <c r="KW160" s="66"/>
      <c r="KX160" s="21"/>
      <c r="KY160" s="22"/>
      <c r="KZ160" s="22"/>
      <c r="LA160" s="97"/>
      <c r="LB160" s="97"/>
      <c r="LC160" s="97"/>
      <c r="LD160" s="20"/>
      <c r="LE160" s="21"/>
      <c r="LF160" s="21"/>
      <c r="LG160" s="18"/>
      <c r="LH160" s="18"/>
      <c r="LI160" s="68"/>
      <c r="LJ160" s="21"/>
      <c r="LK160" s="67"/>
      <c r="LL160" s="90"/>
      <c r="LM160" s="94"/>
      <c r="LN160" s="95"/>
      <c r="LO160" s="90"/>
      <c r="LP160" s="21"/>
      <c r="LQ160" s="20"/>
      <c r="LR160" s="96"/>
      <c r="LS160" s="66"/>
      <c r="LT160" s="21"/>
      <c r="LU160" s="22"/>
      <c r="LV160" s="22"/>
      <c r="LW160" s="97"/>
      <c r="LX160" s="97"/>
      <c r="LY160" s="97"/>
      <c r="LZ160" s="20"/>
      <c r="MA160" s="21"/>
      <c r="MB160" s="21"/>
      <c r="MC160" s="18"/>
      <c r="MD160" s="18"/>
      <c r="ME160" s="68"/>
      <c r="MF160" s="21"/>
      <c r="MG160" s="67"/>
      <c r="MH160" s="90"/>
      <c r="MI160" s="94"/>
      <c r="MJ160" s="95"/>
      <c r="MK160" s="90"/>
      <c r="ML160" s="21"/>
      <c r="MM160" s="20"/>
      <c r="MN160" s="96"/>
      <c r="MO160" s="66"/>
      <c r="MP160" s="21"/>
      <c r="MQ160" s="22"/>
      <c r="MR160" s="22"/>
      <c r="MS160" s="97"/>
      <c r="MT160" s="97"/>
      <c r="MU160" s="97"/>
      <c r="MV160" s="20"/>
      <c r="MW160" s="21"/>
      <c r="MX160" s="21"/>
      <c r="MY160" s="18"/>
      <c r="MZ160" s="18"/>
      <c r="NA160" s="68"/>
      <c r="NB160" s="21"/>
      <c r="NC160" s="67"/>
      <c r="ND160" s="90"/>
      <c r="NE160" s="94"/>
      <c r="NF160" s="95"/>
      <c r="NG160" s="90"/>
      <c r="NH160" s="21"/>
      <c r="NI160" s="20"/>
      <c r="NJ160" s="96"/>
      <c r="NK160" s="66"/>
      <c r="NL160" s="21"/>
      <c r="NM160" s="22"/>
      <c r="NN160" s="22"/>
      <c r="NO160" s="97"/>
      <c r="NP160" s="97"/>
      <c r="NQ160" s="97"/>
      <c r="NR160" s="20"/>
      <c r="NS160" s="21"/>
      <c r="NT160" s="21"/>
      <c r="NU160" s="18"/>
      <c r="NV160" s="18"/>
      <c r="NW160" s="68"/>
      <c r="NX160" s="21"/>
      <c r="NY160" s="67"/>
      <c r="NZ160" s="90"/>
      <c r="OA160" s="94"/>
      <c r="OB160" s="95"/>
      <c r="OC160" s="90"/>
      <c r="OD160" s="21"/>
      <c r="OE160" s="20"/>
      <c r="OF160" s="96"/>
      <c r="OG160" s="66"/>
      <c r="OH160" s="21"/>
      <c r="OI160" s="22"/>
      <c r="OJ160" s="22"/>
      <c r="OK160" s="97"/>
      <c r="OL160" s="97"/>
      <c r="OM160" s="97"/>
      <c r="ON160" s="20"/>
      <c r="OO160" s="21"/>
      <c r="OP160" s="21"/>
      <c r="OQ160" s="18"/>
      <c r="OR160" s="18"/>
      <c r="OS160" s="68"/>
      <c r="OT160" s="21"/>
      <c r="OU160" s="67"/>
      <c r="OV160" s="90"/>
      <c r="OW160" s="94"/>
      <c r="OX160" s="95"/>
      <c r="OY160" s="90"/>
      <c r="OZ160" s="21"/>
      <c r="PA160" s="20"/>
      <c r="PB160" s="96"/>
      <c r="PC160" s="66"/>
      <c r="PD160" s="21"/>
      <c r="PE160" s="22"/>
      <c r="PF160" s="22"/>
      <c r="PG160" s="97"/>
      <c r="PH160" s="97"/>
      <c r="PI160" s="97"/>
      <c r="PJ160" s="20"/>
      <c r="PK160" s="21"/>
      <c r="PL160" s="21"/>
      <c r="PM160" s="18"/>
      <c r="PN160" s="18"/>
      <c r="PO160" s="68"/>
      <c r="PP160" s="21"/>
      <c r="PQ160" s="67"/>
      <c r="PR160" s="90"/>
      <c r="PS160" s="94"/>
      <c r="PT160" s="95"/>
      <c r="PU160" s="90"/>
      <c r="PV160" s="21"/>
      <c r="PW160" s="20"/>
      <c r="PX160" s="96"/>
      <c r="PY160" s="66"/>
      <c r="PZ160" s="21"/>
      <c r="QA160" s="22"/>
      <c r="QB160" s="22"/>
      <c r="QC160" s="97"/>
      <c r="QD160" s="97"/>
      <c r="QE160" s="97"/>
      <c r="QF160" s="20"/>
      <c r="QG160" s="21"/>
      <c r="QH160" s="21"/>
      <c r="QI160" s="18"/>
      <c r="QJ160" s="18"/>
      <c r="QK160" s="68"/>
      <c r="QL160" s="21"/>
      <c r="QM160" s="67"/>
      <c r="QN160" s="90"/>
      <c r="QO160" s="94"/>
      <c r="QP160" s="95"/>
      <c r="QQ160" s="90"/>
      <c r="QR160" s="21"/>
      <c r="QS160" s="20"/>
      <c r="QT160" s="96"/>
      <c r="QU160" s="66"/>
      <c r="QV160" s="21"/>
      <c r="QW160" s="22"/>
    </row>
    <row r="161" spans="1:465" ht="15" customHeight="1">
      <c r="A161" s="67">
        <v>156</v>
      </c>
      <c r="B161" s="68">
        <v>46248</v>
      </c>
      <c r="C161" s="67" t="s">
        <v>131</v>
      </c>
      <c r="D161" s="67" t="s">
        <v>106</v>
      </c>
      <c r="E161" s="67"/>
      <c r="F161" s="67" t="s">
        <v>269</v>
      </c>
      <c r="G161" s="67"/>
      <c r="H161" s="67" t="s">
        <v>105</v>
      </c>
      <c r="I161" s="67" t="s">
        <v>106</v>
      </c>
      <c r="J161" s="67"/>
      <c r="K161" s="67"/>
      <c r="L161" s="125" t="s">
        <v>288</v>
      </c>
      <c r="M161" s="67"/>
      <c r="N161" s="67"/>
      <c r="O161" s="67"/>
      <c r="P161" s="67"/>
      <c r="Q161" s="67"/>
      <c r="R161" s="67"/>
      <c r="S161" s="67"/>
      <c r="T161" s="84"/>
      <c r="U161" s="67"/>
      <c r="V161" s="67"/>
      <c r="W161" s="21"/>
      <c r="X161" s="67"/>
      <c r="Y161" s="90"/>
      <c r="Z161" s="94"/>
      <c r="AA161" s="95"/>
      <c r="AB161" s="90"/>
      <c r="AC161" s="21"/>
      <c r="AD161" s="20"/>
      <c r="AE161" s="96"/>
      <c r="AF161" s="66"/>
      <c r="AG161" s="21"/>
      <c r="AH161" s="22"/>
      <c r="AI161" s="22"/>
      <c r="AJ161" s="97"/>
      <c r="AK161" s="97"/>
      <c r="AL161" s="97"/>
      <c r="AM161" s="20"/>
      <c r="AN161" s="21"/>
      <c r="AO161" s="21"/>
      <c r="AP161" s="18"/>
      <c r="AQ161" s="18"/>
      <c r="AR161" s="68"/>
      <c r="AS161" s="21"/>
      <c r="AT161" s="67"/>
      <c r="AU161" s="90"/>
      <c r="AV161" s="94"/>
      <c r="AW161" s="95"/>
      <c r="AX161" s="90"/>
      <c r="AY161" s="21"/>
      <c r="AZ161" s="20"/>
      <c r="BA161" s="96"/>
      <c r="BB161" s="66"/>
      <c r="BC161" s="21"/>
      <c r="BD161" s="22"/>
      <c r="BE161" s="22"/>
      <c r="BF161" s="97"/>
      <c r="BG161" s="97"/>
      <c r="BH161" s="97"/>
      <c r="BI161" s="20"/>
      <c r="BJ161" s="21"/>
      <c r="BK161" s="21"/>
      <c r="BL161" s="18"/>
      <c r="BM161" s="18"/>
      <c r="BN161" s="68"/>
      <c r="BO161" s="21"/>
      <c r="BP161" s="67"/>
      <c r="BQ161" s="90"/>
      <c r="BR161" s="94"/>
      <c r="BS161" s="95"/>
      <c r="BT161" s="90"/>
      <c r="BU161" s="21"/>
      <c r="BV161" s="20"/>
      <c r="BW161" s="96"/>
      <c r="BX161" s="66"/>
      <c r="BY161" s="21"/>
      <c r="BZ161" s="22"/>
      <c r="CA161" s="22"/>
      <c r="CB161" s="97"/>
      <c r="CC161" s="97"/>
      <c r="CD161" s="97"/>
      <c r="CE161" s="20"/>
      <c r="CF161" s="21"/>
      <c r="CG161" s="21"/>
      <c r="CH161" s="18"/>
      <c r="CI161" s="18"/>
      <c r="CJ161" s="68"/>
      <c r="CK161" s="21"/>
      <c r="CL161" s="67"/>
      <c r="CM161" s="90"/>
      <c r="CN161" s="94"/>
      <c r="CO161" s="95"/>
      <c r="CP161" s="90"/>
      <c r="CQ161" s="21"/>
      <c r="CR161" s="20"/>
      <c r="CS161" s="96"/>
      <c r="CT161" s="66"/>
      <c r="CU161" s="21"/>
      <c r="CV161" s="22"/>
      <c r="CW161" s="22"/>
      <c r="CX161" s="97"/>
      <c r="CY161" s="97"/>
      <c r="CZ161" s="97"/>
      <c r="DA161" s="20"/>
      <c r="DB161" s="21"/>
      <c r="DC161" s="21"/>
      <c r="DD161" s="18"/>
      <c r="DE161" s="18"/>
      <c r="DF161" s="68"/>
      <c r="DG161" s="21"/>
      <c r="DH161" s="67"/>
      <c r="DI161" s="90"/>
      <c r="DJ161" s="94"/>
      <c r="DK161" s="95"/>
      <c r="DL161" s="90"/>
      <c r="DM161" s="21"/>
      <c r="DN161" s="20"/>
      <c r="DO161" s="96"/>
      <c r="DP161" s="66"/>
      <c r="DQ161" s="21"/>
      <c r="DR161" s="22"/>
      <c r="DS161" s="22"/>
      <c r="DT161" s="97"/>
      <c r="DU161" s="97"/>
      <c r="DV161" s="97"/>
      <c r="DW161" s="20"/>
      <c r="DX161" s="21"/>
      <c r="DY161" s="21"/>
      <c r="DZ161" s="18"/>
      <c r="EA161" s="18"/>
      <c r="EB161" s="68"/>
      <c r="EC161" s="21"/>
      <c r="ED161" s="67"/>
      <c r="EE161" s="90"/>
      <c r="EF161" s="94"/>
      <c r="EG161" s="95"/>
      <c r="EH161" s="90"/>
      <c r="EI161" s="21"/>
      <c r="EJ161" s="20"/>
      <c r="EK161" s="96"/>
      <c r="EL161" s="66"/>
      <c r="EM161" s="21"/>
      <c r="EN161" s="22"/>
      <c r="EO161" s="18"/>
      <c r="EP161" s="68"/>
      <c r="EQ161" s="21"/>
      <c r="ER161" s="67"/>
      <c r="ES161" s="90"/>
      <c r="ET161" s="21"/>
      <c r="EU161" s="95"/>
      <c r="EV161" s="90"/>
      <c r="EW161" s="21"/>
      <c r="EX161" s="20"/>
      <c r="EY161" s="96"/>
      <c r="EZ161" s="66"/>
      <c r="FA161" s="21"/>
      <c r="FB161" s="22"/>
      <c r="FC161" s="22"/>
      <c r="FD161" s="97"/>
      <c r="FE161" s="97"/>
      <c r="FF161" s="97"/>
      <c r="FG161" s="20"/>
      <c r="FH161" s="21"/>
      <c r="FI161" s="18"/>
      <c r="FJ161" s="18"/>
      <c r="FK161" s="68"/>
      <c r="FL161" s="21"/>
      <c r="FM161" s="67"/>
      <c r="FN161" s="90"/>
      <c r="FO161" s="94"/>
      <c r="FP161" s="95"/>
      <c r="FQ161" s="90"/>
      <c r="FR161" s="21"/>
      <c r="FS161" s="20"/>
      <c r="FT161" s="96"/>
      <c r="FU161" s="66"/>
      <c r="FV161" s="21"/>
      <c r="FW161" s="22"/>
      <c r="FX161" s="22"/>
      <c r="FY161" s="97"/>
      <c r="FZ161" s="97"/>
      <c r="GA161" s="97"/>
      <c r="GB161" s="20"/>
      <c r="GC161" s="21"/>
      <c r="GD161" s="21"/>
      <c r="GE161" s="18"/>
      <c r="GF161" s="18"/>
      <c r="GG161" s="68"/>
      <c r="GH161" s="21"/>
      <c r="GI161" s="67"/>
      <c r="GJ161" s="90"/>
      <c r="GK161" s="94"/>
      <c r="GL161" s="95"/>
      <c r="GM161" s="90"/>
      <c r="GN161" s="21"/>
      <c r="GO161" s="20"/>
      <c r="GP161" s="96"/>
      <c r="GQ161" s="66"/>
      <c r="GR161" s="21"/>
      <c r="GS161" s="22"/>
      <c r="GT161" s="22"/>
      <c r="GU161" s="97"/>
      <c r="GV161" s="97"/>
      <c r="GW161" s="97"/>
      <c r="GX161" s="20"/>
      <c r="GY161" s="21"/>
      <c r="GZ161" s="21"/>
      <c r="HA161" s="18"/>
      <c r="HB161" s="18"/>
      <c r="HC161" s="68"/>
      <c r="HD161" s="21"/>
      <c r="HE161" s="67"/>
      <c r="HF161" s="90"/>
      <c r="HG161" s="94"/>
      <c r="HH161" s="95"/>
      <c r="HI161" s="90"/>
      <c r="HJ161" s="21"/>
      <c r="HK161" s="20"/>
      <c r="HL161" s="96"/>
      <c r="HM161" s="66"/>
      <c r="HN161" s="21"/>
      <c r="HO161" s="22"/>
      <c r="HP161" s="22"/>
      <c r="HQ161" s="97"/>
      <c r="HR161" s="97"/>
      <c r="HS161" s="97"/>
      <c r="HT161" s="20"/>
      <c r="HU161" s="21"/>
      <c r="HV161" s="21"/>
      <c r="HW161" s="18"/>
      <c r="HX161" s="18"/>
      <c r="HY161" s="68"/>
      <c r="HZ161" s="21"/>
      <c r="IA161" s="67"/>
      <c r="IB161" s="90"/>
      <c r="IC161" s="94"/>
      <c r="ID161" s="95"/>
      <c r="IE161" s="90"/>
      <c r="IF161" s="21"/>
      <c r="IG161" s="20"/>
      <c r="IH161" s="96"/>
      <c r="II161" s="66"/>
      <c r="IJ161" s="21"/>
      <c r="IK161" s="22"/>
      <c r="IL161" s="22"/>
      <c r="IM161" s="97"/>
      <c r="IN161" s="97"/>
      <c r="IO161" s="97"/>
      <c r="IP161" s="20"/>
      <c r="IQ161" s="21"/>
      <c r="IR161" s="21"/>
      <c r="IS161" s="18"/>
      <c r="IT161" s="18"/>
      <c r="IU161" s="68"/>
      <c r="IV161" s="21"/>
      <c r="IW161" s="67"/>
      <c r="IX161" s="90"/>
      <c r="IY161" s="94"/>
      <c r="IZ161" s="95"/>
      <c r="JA161" s="90"/>
      <c r="JB161" s="21"/>
      <c r="JC161" s="20"/>
      <c r="JD161" s="96"/>
      <c r="JE161" s="66"/>
      <c r="JF161" s="21"/>
      <c r="JG161" s="22"/>
      <c r="JH161" s="22"/>
      <c r="JI161" s="97"/>
      <c r="JJ161" s="97"/>
      <c r="JK161" s="97"/>
      <c r="JL161" s="20"/>
      <c r="JM161" s="21"/>
      <c r="JN161" s="21"/>
      <c r="JO161" s="18"/>
      <c r="JP161" s="18"/>
      <c r="JQ161" s="68"/>
      <c r="JR161" s="21"/>
      <c r="JS161" s="67"/>
      <c r="JT161" s="90"/>
      <c r="JU161" s="94"/>
      <c r="JV161" s="95"/>
      <c r="JW161" s="90"/>
      <c r="JX161" s="21"/>
      <c r="JY161" s="20"/>
      <c r="JZ161" s="96"/>
      <c r="KA161" s="66"/>
      <c r="KB161" s="21"/>
      <c r="KC161" s="22"/>
      <c r="KD161" s="22"/>
      <c r="KE161" s="97"/>
      <c r="KF161" s="97"/>
      <c r="KG161" s="97"/>
      <c r="KH161" s="20"/>
      <c r="KI161" s="21"/>
      <c r="KJ161" s="21"/>
      <c r="KK161" s="18"/>
      <c r="KL161" s="18"/>
      <c r="KM161" s="68"/>
      <c r="KN161" s="21"/>
      <c r="KO161" s="67"/>
      <c r="KP161" s="90"/>
      <c r="KQ161" s="94"/>
      <c r="KR161" s="95"/>
      <c r="KS161" s="90"/>
      <c r="KT161" s="21"/>
      <c r="KU161" s="20"/>
      <c r="KV161" s="96"/>
      <c r="KW161" s="66"/>
      <c r="KX161" s="21"/>
      <c r="KY161" s="22"/>
      <c r="KZ161" s="22"/>
      <c r="LA161" s="97"/>
      <c r="LB161" s="97"/>
      <c r="LC161" s="97"/>
      <c r="LD161" s="20"/>
      <c r="LE161" s="21"/>
      <c r="LF161" s="21"/>
      <c r="LG161" s="18"/>
      <c r="LH161" s="18"/>
      <c r="LI161" s="68"/>
      <c r="LJ161" s="21"/>
      <c r="LK161" s="67"/>
      <c r="LL161" s="90"/>
      <c r="LM161" s="94"/>
      <c r="LN161" s="95"/>
      <c r="LO161" s="90"/>
      <c r="LP161" s="21"/>
      <c r="LQ161" s="20"/>
      <c r="LR161" s="96"/>
      <c r="LS161" s="66"/>
      <c r="LT161" s="21"/>
      <c r="LU161" s="22"/>
      <c r="LV161" s="22"/>
      <c r="LW161" s="97"/>
      <c r="LX161" s="97"/>
      <c r="LY161" s="97"/>
      <c r="LZ161" s="20"/>
      <c r="MA161" s="21"/>
      <c r="MB161" s="21"/>
      <c r="MC161" s="18"/>
      <c r="MD161" s="18"/>
      <c r="ME161" s="68"/>
      <c r="MF161" s="21"/>
      <c r="MG161" s="67"/>
      <c r="MH161" s="90"/>
      <c r="MI161" s="94"/>
      <c r="MJ161" s="95"/>
      <c r="MK161" s="90"/>
      <c r="ML161" s="21"/>
      <c r="MM161" s="20"/>
      <c r="MN161" s="96"/>
      <c r="MO161" s="66"/>
      <c r="MP161" s="21"/>
      <c r="MQ161" s="22"/>
      <c r="MR161" s="22"/>
      <c r="MS161" s="97"/>
      <c r="MT161" s="97"/>
      <c r="MU161" s="97"/>
      <c r="MV161" s="20"/>
      <c r="MW161" s="21"/>
      <c r="MX161" s="21"/>
      <c r="MY161" s="18"/>
      <c r="MZ161" s="18"/>
      <c r="NA161" s="68"/>
      <c r="NB161" s="21"/>
      <c r="NC161" s="67"/>
      <c r="ND161" s="90"/>
      <c r="NE161" s="94"/>
      <c r="NF161" s="95"/>
      <c r="NG161" s="90"/>
      <c r="NH161" s="21"/>
      <c r="NI161" s="20"/>
      <c r="NJ161" s="96"/>
      <c r="NK161" s="66"/>
      <c r="NL161" s="21"/>
      <c r="NM161" s="22"/>
      <c r="NN161" s="22"/>
      <c r="NO161" s="97"/>
      <c r="NP161" s="97"/>
      <c r="NQ161" s="97"/>
      <c r="NR161" s="20"/>
      <c r="NS161" s="21"/>
      <c r="NT161" s="21"/>
      <c r="NU161" s="18"/>
      <c r="NV161" s="18"/>
      <c r="NW161" s="68"/>
      <c r="NX161" s="21"/>
      <c r="NY161" s="67"/>
      <c r="NZ161" s="90"/>
      <c r="OA161" s="94"/>
      <c r="OB161" s="95"/>
      <c r="OC161" s="90"/>
      <c r="OD161" s="21"/>
      <c r="OE161" s="20"/>
      <c r="OF161" s="96"/>
      <c r="OG161" s="66"/>
      <c r="OH161" s="21"/>
      <c r="OI161" s="22"/>
      <c r="OJ161" s="22"/>
      <c r="OK161" s="97"/>
      <c r="OL161" s="97"/>
      <c r="OM161" s="97"/>
      <c r="ON161" s="20"/>
      <c r="OO161" s="21"/>
      <c r="OP161" s="21"/>
      <c r="OQ161" s="18"/>
      <c r="OR161" s="18"/>
      <c r="OS161" s="68"/>
      <c r="OT161" s="21"/>
      <c r="OU161" s="67"/>
      <c r="OV161" s="90"/>
      <c r="OW161" s="94"/>
      <c r="OX161" s="95"/>
      <c r="OY161" s="90"/>
      <c r="OZ161" s="21"/>
      <c r="PA161" s="20"/>
      <c r="PB161" s="96"/>
      <c r="PC161" s="66"/>
      <c r="PD161" s="21"/>
      <c r="PE161" s="22"/>
      <c r="PF161" s="22"/>
      <c r="PG161" s="97"/>
      <c r="PH161" s="97"/>
      <c r="PI161" s="97"/>
      <c r="PJ161" s="20"/>
      <c r="PK161" s="21"/>
      <c r="PL161" s="21"/>
      <c r="PM161" s="18"/>
      <c r="PN161" s="18"/>
      <c r="PO161" s="68"/>
      <c r="PP161" s="21"/>
      <c r="PQ161" s="67"/>
      <c r="PR161" s="90"/>
      <c r="PS161" s="94"/>
      <c r="PT161" s="95"/>
      <c r="PU161" s="90"/>
      <c r="PV161" s="21"/>
      <c r="PW161" s="20"/>
      <c r="PX161" s="96"/>
      <c r="PY161" s="66"/>
      <c r="PZ161" s="21"/>
      <c r="QA161" s="22"/>
      <c r="QB161" s="22"/>
      <c r="QC161" s="97"/>
      <c r="QD161" s="97"/>
      <c r="QE161" s="97"/>
      <c r="QF161" s="20"/>
      <c r="QG161" s="21"/>
      <c r="QH161" s="21"/>
      <c r="QI161" s="18"/>
      <c r="QJ161" s="18"/>
      <c r="QK161" s="68"/>
      <c r="QL161" s="21"/>
      <c r="QM161" s="67"/>
      <c r="QN161" s="90"/>
      <c r="QO161" s="94"/>
      <c r="QP161" s="95"/>
      <c r="QQ161" s="90"/>
      <c r="QR161" s="21"/>
      <c r="QS161" s="20"/>
      <c r="QT161" s="96"/>
      <c r="QU161" s="66"/>
      <c r="QV161" s="21"/>
      <c r="QW161" s="22"/>
    </row>
    <row r="162" spans="1:465" ht="15" customHeight="1">
      <c r="A162" s="67">
        <v>157</v>
      </c>
      <c r="B162" s="68">
        <v>46248</v>
      </c>
      <c r="C162" s="67" t="s">
        <v>131</v>
      </c>
      <c r="D162" s="67" t="s">
        <v>106</v>
      </c>
      <c r="E162" s="67"/>
      <c r="F162" s="67" t="s">
        <v>269</v>
      </c>
      <c r="G162" s="67"/>
      <c r="H162" s="67" t="s">
        <v>105</v>
      </c>
      <c r="I162" s="67" t="s">
        <v>106</v>
      </c>
      <c r="J162" s="67"/>
      <c r="K162" s="67"/>
      <c r="L162" s="125" t="s">
        <v>289</v>
      </c>
      <c r="M162" s="67"/>
      <c r="N162" s="67"/>
      <c r="O162" s="67"/>
      <c r="P162" s="67"/>
      <c r="Q162" s="67"/>
      <c r="R162" s="67"/>
      <c r="S162" s="67"/>
      <c r="T162" s="84"/>
      <c r="U162" s="67"/>
      <c r="V162" s="67"/>
      <c r="W162" s="21"/>
      <c r="X162" s="67"/>
      <c r="Y162" s="90"/>
      <c r="Z162" s="94"/>
      <c r="AA162" s="95"/>
      <c r="AB162" s="90"/>
      <c r="AC162" s="21"/>
      <c r="AD162" s="20"/>
      <c r="AE162" s="96"/>
      <c r="AF162" s="66"/>
      <c r="AG162" s="21"/>
      <c r="AH162" s="22"/>
      <c r="AI162" s="22"/>
      <c r="AJ162" s="97"/>
      <c r="AK162" s="97"/>
      <c r="AL162" s="97"/>
      <c r="AM162" s="20"/>
      <c r="AN162" s="21"/>
      <c r="AO162" s="21"/>
      <c r="AP162" s="18"/>
      <c r="AQ162" s="18"/>
      <c r="AR162" s="68"/>
      <c r="AS162" s="21"/>
      <c r="AT162" s="67"/>
      <c r="AU162" s="90"/>
      <c r="AV162" s="94"/>
      <c r="AW162" s="95"/>
      <c r="AX162" s="90"/>
      <c r="AY162" s="21"/>
      <c r="AZ162" s="20"/>
      <c r="BA162" s="96"/>
      <c r="BB162" s="66"/>
      <c r="BC162" s="21"/>
      <c r="BD162" s="22"/>
      <c r="BE162" s="22"/>
      <c r="BF162" s="97"/>
      <c r="BG162" s="97"/>
      <c r="BH162" s="97"/>
      <c r="BI162" s="20"/>
      <c r="BJ162" s="21"/>
      <c r="BK162" s="21"/>
      <c r="BL162" s="18"/>
      <c r="BM162" s="18"/>
      <c r="BN162" s="68"/>
      <c r="BO162" s="21"/>
      <c r="BP162" s="67"/>
      <c r="BQ162" s="90"/>
      <c r="BR162" s="94"/>
      <c r="BS162" s="95"/>
      <c r="BT162" s="90"/>
      <c r="BU162" s="21"/>
      <c r="BV162" s="20"/>
      <c r="BW162" s="96"/>
      <c r="BX162" s="66"/>
      <c r="BY162" s="21"/>
      <c r="BZ162" s="22"/>
      <c r="CA162" s="22"/>
      <c r="CB162" s="97"/>
      <c r="CC162" s="97"/>
      <c r="CD162" s="97"/>
      <c r="CE162" s="20"/>
      <c r="CF162" s="21"/>
      <c r="CG162" s="21"/>
      <c r="CH162" s="18"/>
      <c r="CI162" s="18"/>
      <c r="CJ162" s="68"/>
      <c r="CK162" s="21"/>
      <c r="CL162" s="67"/>
      <c r="CM162" s="90"/>
      <c r="CN162" s="94"/>
      <c r="CO162" s="95"/>
      <c r="CP162" s="90"/>
      <c r="CQ162" s="21"/>
      <c r="CR162" s="20"/>
      <c r="CS162" s="96"/>
      <c r="CT162" s="66"/>
      <c r="CU162" s="21"/>
      <c r="CV162" s="22"/>
      <c r="CW162" s="22"/>
      <c r="CX162" s="97"/>
      <c r="CY162" s="97"/>
      <c r="CZ162" s="97"/>
      <c r="DA162" s="20"/>
      <c r="DB162" s="21"/>
      <c r="DC162" s="21"/>
      <c r="DD162" s="18"/>
      <c r="DE162" s="18"/>
      <c r="DF162" s="68"/>
      <c r="DG162" s="21"/>
      <c r="DH162" s="67"/>
      <c r="DI162" s="90"/>
      <c r="DJ162" s="94"/>
      <c r="DK162" s="95"/>
      <c r="DL162" s="90"/>
      <c r="DM162" s="21"/>
      <c r="DN162" s="20"/>
      <c r="DO162" s="96"/>
      <c r="DP162" s="66"/>
      <c r="DQ162" s="21"/>
      <c r="DR162" s="22"/>
      <c r="DS162" s="22"/>
      <c r="DT162" s="97"/>
      <c r="DU162" s="97"/>
      <c r="DV162" s="97"/>
      <c r="DW162" s="20"/>
      <c r="DX162" s="21"/>
      <c r="DY162" s="21"/>
      <c r="DZ162" s="18"/>
      <c r="EA162" s="18"/>
      <c r="EB162" s="68"/>
      <c r="EC162" s="21"/>
      <c r="ED162" s="67"/>
      <c r="EE162" s="90"/>
      <c r="EF162" s="94"/>
      <c r="EG162" s="95"/>
      <c r="EH162" s="90"/>
      <c r="EI162" s="21"/>
      <c r="EJ162" s="20"/>
      <c r="EK162" s="96"/>
      <c r="EL162" s="66"/>
      <c r="EM162" s="21"/>
      <c r="EN162" s="22"/>
      <c r="EO162" s="18"/>
      <c r="EP162" s="68"/>
      <c r="EQ162" s="21"/>
      <c r="ER162" s="67"/>
      <c r="ES162" s="90"/>
      <c r="ET162" s="21"/>
      <c r="EU162" s="95"/>
      <c r="EV162" s="90"/>
      <c r="EW162" s="21"/>
      <c r="EX162" s="20"/>
      <c r="EY162" s="96"/>
      <c r="EZ162" s="66"/>
      <c r="FA162" s="21"/>
      <c r="FB162" s="22"/>
      <c r="FC162" s="22"/>
      <c r="FD162" s="97"/>
      <c r="FE162" s="97"/>
      <c r="FF162" s="97"/>
      <c r="FG162" s="20"/>
      <c r="FH162" s="21"/>
      <c r="FI162" s="18"/>
      <c r="FJ162" s="18"/>
      <c r="FK162" s="68"/>
      <c r="FL162" s="21"/>
      <c r="FM162" s="67"/>
      <c r="FN162" s="90"/>
      <c r="FO162" s="94"/>
      <c r="FP162" s="95"/>
      <c r="FQ162" s="90"/>
      <c r="FR162" s="21"/>
      <c r="FS162" s="20"/>
      <c r="FT162" s="96"/>
      <c r="FU162" s="66"/>
      <c r="FV162" s="21"/>
      <c r="FW162" s="22"/>
      <c r="FX162" s="22"/>
      <c r="FY162" s="97"/>
      <c r="FZ162" s="97"/>
      <c r="GA162" s="97"/>
      <c r="GB162" s="20"/>
      <c r="GC162" s="21"/>
      <c r="GD162" s="21"/>
      <c r="GE162" s="18"/>
      <c r="GF162" s="18"/>
      <c r="GG162" s="68"/>
      <c r="GH162" s="21"/>
      <c r="GI162" s="67"/>
      <c r="GJ162" s="90"/>
      <c r="GK162" s="94"/>
      <c r="GL162" s="95"/>
      <c r="GM162" s="90"/>
      <c r="GN162" s="21"/>
      <c r="GO162" s="20"/>
      <c r="GP162" s="96"/>
      <c r="GQ162" s="66"/>
      <c r="GR162" s="21"/>
      <c r="GS162" s="22"/>
      <c r="GT162" s="22"/>
      <c r="GU162" s="97"/>
      <c r="GV162" s="97"/>
      <c r="GW162" s="97"/>
      <c r="GX162" s="20"/>
      <c r="GY162" s="21"/>
      <c r="GZ162" s="21"/>
      <c r="HA162" s="18"/>
      <c r="HB162" s="18"/>
      <c r="HC162" s="68"/>
      <c r="HD162" s="21"/>
      <c r="HE162" s="67"/>
      <c r="HF162" s="90"/>
      <c r="HG162" s="94"/>
      <c r="HH162" s="95"/>
      <c r="HI162" s="90"/>
      <c r="HJ162" s="21"/>
      <c r="HK162" s="20"/>
      <c r="HL162" s="96"/>
      <c r="HM162" s="66"/>
      <c r="HN162" s="21"/>
      <c r="HO162" s="22"/>
      <c r="HP162" s="22"/>
      <c r="HQ162" s="97"/>
      <c r="HR162" s="97"/>
      <c r="HS162" s="97"/>
      <c r="HT162" s="20"/>
      <c r="HU162" s="21"/>
      <c r="HV162" s="21"/>
      <c r="HW162" s="18"/>
      <c r="HX162" s="18"/>
      <c r="HY162" s="68"/>
      <c r="HZ162" s="21"/>
      <c r="IA162" s="67"/>
      <c r="IB162" s="90"/>
      <c r="IC162" s="94"/>
      <c r="ID162" s="95"/>
      <c r="IE162" s="90"/>
      <c r="IF162" s="21"/>
      <c r="IG162" s="20"/>
      <c r="IH162" s="96"/>
      <c r="II162" s="66"/>
      <c r="IJ162" s="21"/>
      <c r="IK162" s="22"/>
      <c r="IL162" s="22"/>
      <c r="IM162" s="97"/>
      <c r="IN162" s="97"/>
      <c r="IO162" s="97"/>
      <c r="IP162" s="20"/>
      <c r="IQ162" s="21"/>
      <c r="IR162" s="21"/>
      <c r="IS162" s="18"/>
      <c r="IT162" s="18"/>
      <c r="IU162" s="68"/>
      <c r="IV162" s="21"/>
      <c r="IW162" s="67"/>
      <c r="IX162" s="90"/>
      <c r="IY162" s="94"/>
      <c r="IZ162" s="95"/>
      <c r="JA162" s="90"/>
      <c r="JB162" s="21"/>
      <c r="JC162" s="20"/>
      <c r="JD162" s="96"/>
      <c r="JE162" s="66"/>
      <c r="JF162" s="21"/>
      <c r="JG162" s="22"/>
      <c r="JH162" s="22"/>
      <c r="JI162" s="97"/>
      <c r="JJ162" s="97"/>
      <c r="JK162" s="97"/>
      <c r="JL162" s="20"/>
      <c r="JM162" s="21"/>
      <c r="JN162" s="21"/>
      <c r="JO162" s="18"/>
      <c r="JP162" s="18"/>
      <c r="JQ162" s="68"/>
      <c r="JR162" s="21"/>
      <c r="JS162" s="67"/>
      <c r="JT162" s="90"/>
      <c r="JU162" s="94"/>
      <c r="JV162" s="95"/>
      <c r="JW162" s="90"/>
      <c r="JX162" s="21"/>
      <c r="JY162" s="20"/>
      <c r="JZ162" s="96"/>
      <c r="KA162" s="66"/>
      <c r="KB162" s="21"/>
      <c r="KC162" s="22"/>
      <c r="KD162" s="22"/>
      <c r="KE162" s="97"/>
      <c r="KF162" s="97"/>
      <c r="KG162" s="97"/>
      <c r="KH162" s="20"/>
      <c r="KI162" s="21"/>
      <c r="KJ162" s="21"/>
      <c r="KK162" s="18"/>
      <c r="KL162" s="18"/>
      <c r="KM162" s="68"/>
      <c r="KN162" s="21"/>
      <c r="KO162" s="67"/>
      <c r="KP162" s="90"/>
      <c r="KQ162" s="94"/>
      <c r="KR162" s="95"/>
      <c r="KS162" s="90"/>
      <c r="KT162" s="21"/>
      <c r="KU162" s="20"/>
      <c r="KV162" s="96"/>
      <c r="KW162" s="66"/>
      <c r="KX162" s="21"/>
      <c r="KY162" s="22"/>
      <c r="KZ162" s="22"/>
      <c r="LA162" s="97"/>
      <c r="LB162" s="97"/>
      <c r="LC162" s="97"/>
      <c r="LD162" s="20"/>
      <c r="LE162" s="21"/>
      <c r="LF162" s="21"/>
      <c r="LG162" s="18"/>
      <c r="LH162" s="18"/>
      <c r="LI162" s="68"/>
      <c r="LJ162" s="21"/>
      <c r="LK162" s="67"/>
      <c r="LL162" s="90"/>
      <c r="LM162" s="94"/>
      <c r="LN162" s="95"/>
      <c r="LO162" s="90"/>
      <c r="LP162" s="21"/>
      <c r="LQ162" s="20"/>
      <c r="LR162" s="96"/>
      <c r="LS162" s="66"/>
      <c r="LT162" s="21"/>
      <c r="LU162" s="22"/>
      <c r="LV162" s="22"/>
      <c r="LW162" s="97"/>
      <c r="LX162" s="97"/>
      <c r="LY162" s="97"/>
      <c r="LZ162" s="20"/>
      <c r="MA162" s="21"/>
      <c r="MB162" s="21"/>
      <c r="MC162" s="18"/>
      <c r="MD162" s="18"/>
      <c r="ME162" s="68"/>
      <c r="MF162" s="21"/>
      <c r="MG162" s="67"/>
      <c r="MH162" s="90"/>
      <c r="MI162" s="94"/>
      <c r="MJ162" s="95"/>
      <c r="MK162" s="90"/>
      <c r="ML162" s="21"/>
      <c r="MM162" s="20"/>
      <c r="MN162" s="96"/>
      <c r="MO162" s="66"/>
      <c r="MP162" s="21"/>
      <c r="MQ162" s="22"/>
      <c r="MR162" s="22"/>
      <c r="MS162" s="97"/>
      <c r="MT162" s="97"/>
      <c r="MU162" s="97"/>
      <c r="MV162" s="20"/>
      <c r="MW162" s="21"/>
      <c r="MX162" s="21"/>
      <c r="MY162" s="18"/>
      <c r="MZ162" s="18"/>
      <c r="NA162" s="68"/>
      <c r="NB162" s="21"/>
      <c r="NC162" s="67"/>
      <c r="ND162" s="90"/>
      <c r="NE162" s="94"/>
      <c r="NF162" s="95"/>
      <c r="NG162" s="90"/>
      <c r="NH162" s="21"/>
      <c r="NI162" s="20"/>
      <c r="NJ162" s="96"/>
      <c r="NK162" s="66"/>
      <c r="NL162" s="21"/>
      <c r="NM162" s="22"/>
      <c r="NN162" s="22"/>
      <c r="NO162" s="97"/>
      <c r="NP162" s="97"/>
      <c r="NQ162" s="97"/>
      <c r="NR162" s="20"/>
      <c r="NS162" s="21"/>
      <c r="NT162" s="21"/>
      <c r="NU162" s="18"/>
      <c r="NV162" s="18"/>
      <c r="NW162" s="68"/>
      <c r="NX162" s="21"/>
      <c r="NY162" s="67"/>
      <c r="NZ162" s="90"/>
      <c r="OA162" s="94"/>
      <c r="OB162" s="95"/>
      <c r="OC162" s="90"/>
      <c r="OD162" s="21"/>
      <c r="OE162" s="20"/>
      <c r="OF162" s="96"/>
      <c r="OG162" s="66"/>
      <c r="OH162" s="21"/>
      <c r="OI162" s="22"/>
      <c r="OJ162" s="22"/>
      <c r="OK162" s="97"/>
      <c r="OL162" s="97"/>
      <c r="OM162" s="97"/>
      <c r="ON162" s="20"/>
      <c r="OO162" s="21"/>
      <c r="OP162" s="21"/>
      <c r="OQ162" s="18"/>
      <c r="OR162" s="18"/>
      <c r="OS162" s="68"/>
      <c r="OT162" s="21"/>
      <c r="OU162" s="67"/>
      <c r="OV162" s="90"/>
      <c r="OW162" s="94"/>
      <c r="OX162" s="95"/>
      <c r="OY162" s="90"/>
      <c r="OZ162" s="21"/>
      <c r="PA162" s="20"/>
      <c r="PB162" s="96"/>
      <c r="PC162" s="66"/>
      <c r="PD162" s="21"/>
      <c r="PE162" s="22"/>
      <c r="PF162" s="22"/>
      <c r="PG162" s="97"/>
      <c r="PH162" s="97"/>
      <c r="PI162" s="97"/>
      <c r="PJ162" s="20"/>
      <c r="PK162" s="21"/>
      <c r="PL162" s="21"/>
      <c r="PM162" s="18"/>
      <c r="PN162" s="18"/>
      <c r="PO162" s="68"/>
      <c r="PP162" s="21"/>
      <c r="PQ162" s="67"/>
      <c r="PR162" s="90"/>
      <c r="PS162" s="94"/>
      <c r="PT162" s="95"/>
      <c r="PU162" s="90"/>
      <c r="PV162" s="21"/>
      <c r="PW162" s="20"/>
      <c r="PX162" s="96"/>
      <c r="PY162" s="66"/>
      <c r="PZ162" s="21"/>
      <c r="QA162" s="22"/>
      <c r="QB162" s="22"/>
      <c r="QC162" s="97"/>
      <c r="QD162" s="97"/>
      <c r="QE162" s="97"/>
      <c r="QF162" s="20"/>
      <c r="QG162" s="21"/>
      <c r="QH162" s="21"/>
      <c r="QI162" s="18"/>
      <c r="QJ162" s="18"/>
      <c r="QK162" s="68"/>
      <c r="QL162" s="21"/>
      <c r="QM162" s="67"/>
      <c r="QN162" s="90"/>
      <c r="QO162" s="94"/>
      <c r="QP162" s="95"/>
      <c r="QQ162" s="90"/>
      <c r="QR162" s="21"/>
      <c r="QS162" s="20"/>
      <c r="QT162" s="96"/>
      <c r="QU162" s="66"/>
      <c r="QV162" s="21"/>
      <c r="QW162" s="22"/>
    </row>
    <row r="163" spans="1:465" ht="15" customHeight="1">
      <c r="A163" s="67">
        <v>158</v>
      </c>
      <c r="B163" s="68">
        <v>46248</v>
      </c>
      <c r="C163" s="67" t="s">
        <v>131</v>
      </c>
      <c r="D163" s="67" t="s">
        <v>106</v>
      </c>
      <c r="E163" s="67"/>
      <c r="F163" s="67" t="s">
        <v>269</v>
      </c>
      <c r="G163" s="67"/>
      <c r="H163" s="67" t="s">
        <v>105</v>
      </c>
      <c r="I163" s="67" t="s">
        <v>106</v>
      </c>
      <c r="J163" s="67"/>
      <c r="K163" s="67"/>
      <c r="L163" s="125" t="s">
        <v>290</v>
      </c>
      <c r="M163" s="67"/>
      <c r="N163" s="67"/>
      <c r="O163" s="67"/>
      <c r="P163" s="67"/>
      <c r="Q163" s="67"/>
      <c r="R163" s="67"/>
      <c r="S163" s="67"/>
      <c r="T163" s="84"/>
      <c r="U163" s="67"/>
      <c r="V163" s="67"/>
      <c r="W163" s="21"/>
      <c r="X163" s="67"/>
      <c r="Y163" s="90"/>
      <c r="Z163" s="94"/>
      <c r="AA163" s="95"/>
      <c r="AB163" s="90"/>
      <c r="AC163" s="21"/>
      <c r="AD163" s="20"/>
      <c r="AE163" s="96"/>
      <c r="AF163" s="66"/>
      <c r="AG163" s="21"/>
      <c r="AH163" s="22"/>
      <c r="AI163" s="22"/>
      <c r="AJ163" s="97"/>
      <c r="AK163" s="97"/>
      <c r="AL163" s="97"/>
      <c r="AM163" s="20"/>
      <c r="AN163" s="21"/>
      <c r="AO163" s="21"/>
      <c r="AP163" s="18"/>
      <c r="AQ163" s="18"/>
      <c r="AR163" s="68"/>
      <c r="AS163" s="21"/>
      <c r="AT163" s="67"/>
      <c r="AU163" s="90"/>
      <c r="AV163" s="94"/>
      <c r="AW163" s="95"/>
      <c r="AX163" s="90"/>
      <c r="AY163" s="21"/>
      <c r="AZ163" s="20"/>
      <c r="BA163" s="96"/>
      <c r="BB163" s="66"/>
      <c r="BC163" s="21"/>
      <c r="BD163" s="22"/>
      <c r="BE163" s="22"/>
      <c r="BF163" s="97"/>
      <c r="BG163" s="97"/>
      <c r="BH163" s="97"/>
      <c r="BI163" s="20"/>
      <c r="BJ163" s="21"/>
      <c r="BK163" s="21"/>
      <c r="BL163" s="18"/>
      <c r="BM163" s="18"/>
      <c r="BN163" s="68"/>
      <c r="BO163" s="21"/>
      <c r="BP163" s="67"/>
      <c r="BQ163" s="90"/>
      <c r="BR163" s="94"/>
      <c r="BS163" s="95"/>
      <c r="BT163" s="90"/>
      <c r="BU163" s="21"/>
      <c r="BV163" s="20"/>
      <c r="BW163" s="96"/>
      <c r="BX163" s="66"/>
      <c r="BY163" s="21"/>
      <c r="BZ163" s="22"/>
      <c r="CA163" s="22"/>
      <c r="CB163" s="97"/>
      <c r="CC163" s="97"/>
      <c r="CD163" s="97"/>
      <c r="CE163" s="20"/>
      <c r="CF163" s="21"/>
      <c r="CG163" s="21"/>
      <c r="CH163" s="18"/>
      <c r="CI163" s="18"/>
      <c r="CJ163" s="68"/>
      <c r="CK163" s="21"/>
      <c r="CL163" s="67"/>
      <c r="CM163" s="90"/>
      <c r="CN163" s="94"/>
      <c r="CO163" s="95"/>
      <c r="CP163" s="90"/>
      <c r="CQ163" s="21"/>
      <c r="CR163" s="20"/>
      <c r="CS163" s="96"/>
      <c r="CT163" s="66"/>
      <c r="CU163" s="21"/>
      <c r="CV163" s="22"/>
      <c r="CW163" s="22"/>
      <c r="CX163" s="97"/>
      <c r="CY163" s="97"/>
      <c r="CZ163" s="97"/>
      <c r="DA163" s="20"/>
      <c r="DB163" s="21"/>
      <c r="DC163" s="21"/>
      <c r="DD163" s="18"/>
      <c r="DE163" s="18"/>
      <c r="DF163" s="68"/>
      <c r="DG163" s="21"/>
      <c r="DH163" s="67"/>
      <c r="DI163" s="90"/>
      <c r="DJ163" s="94"/>
      <c r="DK163" s="95"/>
      <c r="DL163" s="90"/>
      <c r="DM163" s="21"/>
      <c r="DN163" s="20"/>
      <c r="DO163" s="96"/>
      <c r="DP163" s="66"/>
      <c r="DQ163" s="21"/>
      <c r="DR163" s="22"/>
      <c r="DS163" s="22"/>
      <c r="DT163" s="97"/>
      <c r="DU163" s="97"/>
      <c r="DV163" s="97"/>
      <c r="DW163" s="20"/>
      <c r="DX163" s="21"/>
      <c r="DY163" s="21"/>
      <c r="DZ163" s="18"/>
      <c r="EA163" s="18"/>
      <c r="EB163" s="68"/>
      <c r="EC163" s="21"/>
      <c r="ED163" s="67"/>
      <c r="EE163" s="90"/>
      <c r="EF163" s="94"/>
      <c r="EG163" s="95"/>
      <c r="EH163" s="90"/>
      <c r="EI163" s="21"/>
      <c r="EJ163" s="20"/>
      <c r="EK163" s="96"/>
      <c r="EL163" s="66"/>
      <c r="EM163" s="21"/>
      <c r="EN163" s="22"/>
      <c r="EO163" s="18"/>
      <c r="EP163" s="68"/>
      <c r="EQ163" s="21"/>
      <c r="ER163" s="67"/>
      <c r="ES163" s="90"/>
      <c r="ET163" s="21"/>
      <c r="EU163" s="95"/>
      <c r="EV163" s="90"/>
      <c r="EW163" s="21"/>
      <c r="EX163" s="20"/>
      <c r="EY163" s="96"/>
      <c r="EZ163" s="66"/>
      <c r="FA163" s="21"/>
      <c r="FB163" s="22"/>
      <c r="FC163" s="22"/>
      <c r="FD163" s="97"/>
      <c r="FE163" s="97"/>
      <c r="FF163" s="97"/>
      <c r="FG163" s="20"/>
      <c r="FH163" s="21"/>
      <c r="FI163" s="18"/>
      <c r="FJ163" s="18"/>
      <c r="FK163" s="68"/>
      <c r="FL163" s="21"/>
      <c r="FM163" s="67"/>
      <c r="FN163" s="90"/>
      <c r="FO163" s="94"/>
      <c r="FP163" s="95"/>
      <c r="FQ163" s="90"/>
      <c r="FR163" s="21"/>
      <c r="FS163" s="20"/>
      <c r="FT163" s="96"/>
      <c r="FU163" s="66"/>
      <c r="FV163" s="21"/>
      <c r="FW163" s="22"/>
      <c r="FX163" s="22"/>
      <c r="FY163" s="97"/>
      <c r="FZ163" s="97"/>
      <c r="GA163" s="97"/>
      <c r="GB163" s="20"/>
      <c r="GC163" s="21"/>
      <c r="GD163" s="21"/>
      <c r="GE163" s="18"/>
      <c r="GF163" s="18"/>
      <c r="GG163" s="68"/>
      <c r="GH163" s="21"/>
      <c r="GI163" s="67"/>
      <c r="GJ163" s="90"/>
      <c r="GK163" s="94"/>
      <c r="GL163" s="95"/>
      <c r="GM163" s="90"/>
      <c r="GN163" s="21"/>
      <c r="GO163" s="20"/>
      <c r="GP163" s="96"/>
      <c r="GQ163" s="66"/>
      <c r="GR163" s="21"/>
      <c r="GS163" s="22"/>
      <c r="GT163" s="22"/>
      <c r="GU163" s="97"/>
      <c r="GV163" s="97"/>
      <c r="GW163" s="97"/>
      <c r="GX163" s="20"/>
      <c r="GY163" s="21"/>
      <c r="GZ163" s="21"/>
      <c r="HA163" s="18"/>
      <c r="HB163" s="18"/>
      <c r="HC163" s="68"/>
      <c r="HD163" s="21"/>
      <c r="HE163" s="67"/>
      <c r="HF163" s="90"/>
      <c r="HG163" s="94"/>
      <c r="HH163" s="95"/>
      <c r="HI163" s="90"/>
      <c r="HJ163" s="21"/>
      <c r="HK163" s="20"/>
      <c r="HL163" s="96"/>
      <c r="HM163" s="66"/>
      <c r="HN163" s="21"/>
      <c r="HO163" s="22"/>
      <c r="HP163" s="22"/>
      <c r="HQ163" s="97"/>
      <c r="HR163" s="97"/>
      <c r="HS163" s="97"/>
      <c r="HT163" s="20"/>
      <c r="HU163" s="21"/>
      <c r="HV163" s="21"/>
      <c r="HW163" s="18"/>
      <c r="HX163" s="18"/>
      <c r="HY163" s="68"/>
      <c r="HZ163" s="21"/>
      <c r="IA163" s="67"/>
      <c r="IB163" s="90"/>
      <c r="IC163" s="94"/>
      <c r="ID163" s="95"/>
      <c r="IE163" s="90"/>
      <c r="IF163" s="21"/>
      <c r="IG163" s="20"/>
      <c r="IH163" s="96"/>
      <c r="II163" s="66"/>
      <c r="IJ163" s="21"/>
      <c r="IK163" s="22"/>
      <c r="IL163" s="22"/>
      <c r="IM163" s="97"/>
      <c r="IN163" s="97"/>
      <c r="IO163" s="97"/>
      <c r="IP163" s="20"/>
      <c r="IQ163" s="21"/>
      <c r="IR163" s="21"/>
      <c r="IS163" s="18"/>
      <c r="IT163" s="18"/>
      <c r="IU163" s="68"/>
      <c r="IV163" s="21"/>
      <c r="IW163" s="67"/>
      <c r="IX163" s="90"/>
      <c r="IY163" s="94"/>
      <c r="IZ163" s="95"/>
      <c r="JA163" s="90"/>
      <c r="JB163" s="21"/>
      <c r="JC163" s="20"/>
      <c r="JD163" s="96"/>
      <c r="JE163" s="66"/>
      <c r="JF163" s="21"/>
      <c r="JG163" s="22"/>
      <c r="JH163" s="22"/>
      <c r="JI163" s="97"/>
      <c r="JJ163" s="97"/>
      <c r="JK163" s="97"/>
      <c r="JL163" s="20"/>
      <c r="JM163" s="21"/>
      <c r="JN163" s="21"/>
      <c r="JO163" s="18"/>
      <c r="JP163" s="18"/>
      <c r="JQ163" s="68"/>
      <c r="JR163" s="21"/>
      <c r="JS163" s="67"/>
      <c r="JT163" s="90"/>
      <c r="JU163" s="94"/>
      <c r="JV163" s="95"/>
      <c r="JW163" s="90"/>
      <c r="JX163" s="21"/>
      <c r="JY163" s="20"/>
      <c r="JZ163" s="96"/>
      <c r="KA163" s="66"/>
      <c r="KB163" s="21"/>
      <c r="KC163" s="22"/>
      <c r="KD163" s="22"/>
      <c r="KE163" s="97"/>
      <c r="KF163" s="97"/>
      <c r="KG163" s="97"/>
      <c r="KH163" s="20"/>
      <c r="KI163" s="21"/>
      <c r="KJ163" s="21"/>
      <c r="KK163" s="18"/>
      <c r="KL163" s="18"/>
      <c r="KM163" s="68"/>
      <c r="KN163" s="21"/>
      <c r="KO163" s="67"/>
      <c r="KP163" s="90"/>
      <c r="KQ163" s="94"/>
      <c r="KR163" s="95"/>
      <c r="KS163" s="90"/>
      <c r="KT163" s="21"/>
      <c r="KU163" s="20"/>
      <c r="KV163" s="96"/>
      <c r="KW163" s="66"/>
      <c r="KX163" s="21"/>
      <c r="KY163" s="22"/>
      <c r="KZ163" s="22"/>
      <c r="LA163" s="97"/>
      <c r="LB163" s="97"/>
      <c r="LC163" s="97"/>
      <c r="LD163" s="20"/>
      <c r="LE163" s="21"/>
      <c r="LF163" s="21"/>
      <c r="LG163" s="18"/>
      <c r="LH163" s="18"/>
      <c r="LI163" s="68"/>
      <c r="LJ163" s="21"/>
      <c r="LK163" s="67"/>
      <c r="LL163" s="90"/>
      <c r="LM163" s="94"/>
      <c r="LN163" s="95"/>
      <c r="LO163" s="90"/>
      <c r="LP163" s="21"/>
      <c r="LQ163" s="20"/>
      <c r="LR163" s="96"/>
      <c r="LS163" s="66"/>
      <c r="LT163" s="21"/>
      <c r="LU163" s="22"/>
      <c r="LV163" s="22"/>
      <c r="LW163" s="97"/>
      <c r="LX163" s="97"/>
      <c r="LY163" s="97"/>
      <c r="LZ163" s="20"/>
      <c r="MA163" s="21"/>
      <c r="MB163" s="21"/>
      <c r="MC163" s="18"/>
      <c r="MD163" s="18"/>
      <c r="ME163" s="68"/>
      <c r="MF163" s="21"/>
      <c r="MG163" s="67"/>
      <c r="MH163" s="90"/>
      <c r="MI163" s="94"/>
      <c r="MJ163" s="95"/>
      <c r="MK163" s="90"/>
      <c r="ML163" s="21"/>
      <c r="MM163" s="20"/>
      <c r="MN163" s="96"/>
      <c r="MO163" s="66"/>
      <c r="MP163" s="21"/>
      <c r="MQ163" s="22"/>
      <c r="MR163" s="22"/>
      <c r="MS163" s="97"/>
      <c r="MT163" s="97"/>
      <c r="MU163" s="97"/>
      <c r="MV163" s="20"/>
      <c r="MW163" s="21"/>
      <c r="MX163" s="21"/>
      <c r="MY163" s="18"/>
      <c r="MZ163" s="18"/>
      <c r="NA163" s="68"/>
      <c r="NB163" s="21"/>
      <c r="NC163" s="67"/>
      <c r="ND163" s="90"/>
      <c r="NE163" s="94"/>
      <c r="NF163" s="95"/>
      <c r="NG163" s="90"/>
      <c r="NH163" s="21"/>
      <c r="NI163" s="20"/>
      <c r="NJ163" s="96"/>
      <c r="NK163" s="66"/>
      <c r="NL163" s="21"/>
      <c r="NM163" s="22"/>
      <c r="NN163" s="22"/>
      <c r="NO163" s="97"/>
      <c r="NP163" s="97"/>
      <c r="NQ163" s="97"/>
      <c r="NR163" s="20"/>
      <c r="NS163" s="21"/>
      <c r="NT163" s="21"/>
      <c r="NU163" s="18"/>
      <c r="NV163" s="18"/>
      <c r="NW163" s="68"/>
      <c r="NX163" s="21"/>
      <c r="NY163" s="67"/>
      <c r="NZ163" s="90"/>
      <c r="OA163" s="94"/>
      <c r="OB163" s="95"/>
      <c r="OC163" s="90"/>
      <c r="OD163" s="21"/>
      <c r="OE163" s="20"/>
      <c r="OF163" s="96"/>
      <c r="OG163" s="66"/>
      <c r="OH163" s="21"/>
      <c r="OI163" s="22"/>
      <c r="OJ163" s="22"/>
      <c r="OK163" s="97"/>
      <c r="OL163" s="97"/>
      <c r="OM163" s="97"/>
      <c r="ON163" s="20"/>
      <c r="OO163" s="21"/>
      <c r="OP163" s="21"/>
      <c r="OQ163" s="18"/>
      <c r="OR163" s="18"/>
      <c r="OS163" s="68"/>
      <c r="OT163" s="21"/>
      <c r="OU163" s="67"/>
      <c r="OV163" s="90"/>
      <c r="OW163" s="94"/>
      <c r="OX163" s="95"/>
      <c r="OY163" s="90"/>
      <c r="OZ163" s="21"/>
      <c r="PA163" s="20"/>
      <c r="PB163" s="96"/>
      <c r="PC163" s="66"/>
      <c r="PD163" s="21"/>
      <c r="PE163" s="22"/>
      <c r="PF163" s="22"/>
      <c r="PG163" s="97"/>
      <c r="PH163" s="97"/>
      <c r="PI163" s="97"/>
      <c r="PJ163" s="20"/>
      <c r="PK163" s="21"/>
      <c r="PL163" s="21"/>
      <c r="PM163" s="18"/>
      <c r="PN163" s="18"/>
      <c r="PO163" s="68"/>
      <c r="PP163" s="21"/>
      <c r="PQ163" s="67"/>
      <c r="PR163" s="90"/>
      <c r="PS163" s="94"/>
      <c r="PT163" s="95"/>
      <c r="PU163" s="90"/>
      <c r="PV163" s="21"/>
      <c r="PW163" s="20"/>
      <c r="PX163" s="96"/>
      <c r="PY163" s="66"/>
      <c r="PZ163" s="21"/>
      <c r="QA163" s="22"/>
      <c r="QB163" s="22"/>
      <c r="QC163" s="97"/>
      <c r="QD163" s="97"/>
      <c r="QE163" s="97"/>
      <c r="QF163" s="20"/>
      <c r="QG163" s="21"/>
      <c r="QH163" s="21"/>
      <c r="QI163" s="18"/>
      <c r="QJ163" s="18"/>
      <c r="QK163" s="68"/>
      <c r="QL163" s="21"/>
      <c r="QM163" s="67"/>
      <c r="QN163" s="90"/>
      <c r="QO163" s="94"/>
      <c r="QP163" s="95"/>
      <c r="QQ163" s="90"/>
      <c r="QR163" s="21"/>
      <c r="QS163" s="20"/>
      <c r="QT163" s="96"/>
      <c r="QU163" s="66"/>
      <c r="QV163" s="21"/>
      <c r="QW163" s="22"/>
    </row>
    <row r="164" spans="1:465" ht="15" customHeight="1">
      <c r="A164" s="67">
        <v>159</v>
      </c>
      <c r="B164" s="68">
        <v>46251</v>
      </c>
      <c r="C164" s="67" t="s">
        <v>131</v>
      </c>
      <c r="D164" s="67" t="s">
        <v>106</v>
      </c>
      <c r="E164" s="67"/>
      <c r="F164" s="67" t="s">
        <v>4</v>
      </c>
      <c r="G164" s="67"/>
      <c r="H164" s="67" t="s">
        <v>105</v>
      </c>
      <c r="I164" s="67" t="s">
        <v>106</v>
      </c>
      <c r="J164" s="67">
        <v>715988</v>
      </c>
      <c r="K164" s="67">
        <v>1</v>
      </c>
      <c r="L164" s="125" t="s">
        <v>291</v>
      </c>
      <c r="M164" s="67"/>
      <c r="N164" s="67"/>
      <c r="O164" s="67"/>
      <c r="P164" s="67"/>
      <c r="Q164" s="67"/>
      <c r="R164" s="67"/>
      <c r="S164" s="67"/>
      <c r="T164" s="84"/>
      <c r="U164" s="67"/>
      <c r="V164" s="67"/>
      <c r="W164" s="21"/>
      <c r="X164" s="67"/>
      <c r="Y164" s="90"/>
      <c r="Z164" s="94"/>
      <c r="AA164" s="95"/>
      <c r="AB164" s="90"/>
      <c r="AC164" s="21"/>
      <c r="AD164" s="20"/>
      <c r="AE164" s="96"/>
      <c r="AF164" s="66"/>
      <c r="AG164" s="21"/>
      <c r="AH164" s="22"/>
      <c r="AI164" s="22"/>
      <c r="AJ164" s="97"/>
      <c r="AK164" s="97"/>
      <c r="AL164" s="97"/>
      <c r="AM164" s="20"/>
      <c r="AN164" s="21"/>
      <c r="AO164" s="21"/>
      <c r="AP164" s="18"/>
      <c r="AQ164" s="18"/>
      <c r="AR164" s="68"/>
      <c r="AS164" s="21"/>
      <c r="AT164" s="67"/>
      <c r="AU164" s="90"/>
      <c r="AV164" s="94"/>
      <c r="AW164" s="95"/>
      <c r="AX164" s="90"/>
      <c r="AY164" s="21"/>
      <c r="AZ164" s="20"/>
      <c r="BA164" s="96"/>
      <c r="BB164" s="66"/>
      <c r="BC164" s="21"/>
      <c r="BD164" s="22"/>
      <c r="BE164" s="22"/>
      <c r="BF164" s="97"/>
      <c r="BG164" s="97"/>
      <c r="BH164" s="97"/>
      <c r="BI164" s="20"/>
      <c r="BJ164" s="21"/>
      <c r="BK164" s="21"/>
      <c r="BL164" s="18"/>
      <c r="BM164" s="18"/>
      <c r="BN164" s="68"/>
      <c r="BO164" s="21"/>
      <c r="BP164" s="67"/>
      <c r="BQ164" s="90"/>
      <c r="BR164" s="94"/>
      <c r="BS164" s="95"/>
      <c r="BT164" s="90"/>
      <c r="BU164" s="21"/>
      <c r="BV164" s="20"/>
      <c r="BW164" s="96"/>
      <c r="BX164" s="66"/>
      <c r="BY164" s="21"/>
      <c r="BZ164" s="22"/>
      <c r="CA164" s="22"/>
      <c r="CB164" s="97"/>
      <c r="CC164" s="97"/>
      <c r="CD164" s="97"/>
      <c r="CE164" s="20"/>
      <c r="CF164" s="21"/>
      <c r="CG164" s="21"/>
      <c r="CH164" s="18"/>
      <c r="CI164" s="18"/>
      <c r="CJ164" s="68"/>
      <c r="CK164" s="21"/>
      <c r="CL164" s="67"/>
      <c r="CM164" s="90"/>
      <c r="CN164" s="94"/>
      <c r="CO164" s="95"/>
      <c r="CP164" s="90"/>
      <c r="CQ164" s="21"/>
      <c r="CR164" s="20"/>
      <c r="CS164" s="96"/>
      <c r="CT164" s="66"/>
      <c r="CU164" s="21"/>
      <c r="CV164" s="22"/>
      <c r="CW164" s="22"/>
      <c r="CX164" s="97"/>
      <c r="CY164" s="97"/>
      <c r="CZ164" s="97"/>
      <c r="DA164" s="20"/>
      <c r="DB164" s="21"/>
      <c r="DC164" s="21"/>
      <c r="DD164" s="18"/>
      <c r="DE164" s="18"/>
      <c r="DF164" s="68"/>
      <c r="DG164" s="21"/>
      <c r="DH164" s="67"/>
      <c r="DI164" s="90"/>
      <c r="DJ164" s="94"/>
      <c r="DK164" s="95"/>
      <c r="DL164" s="90"/>
      <c r="DM164" s="21"/>
      <c r="DN164" s="20"/>
      <c r="DO164" s="96"/>
      <c r="DP164" s="66"/>
      <c r="DQ164" s="21"/>
      <c r="DR164" s="22"/>
      <c r="DS164" s="22"/>
      <c r="DT164" s="97"/>
      <c r="DU164" s="97"/>
      <c r="DV164" s="97"/>
      <c r="DW164" s="20"/>
      <c r="DX164" s="21"/>
      <c r="DY164" s="21"/>
      <c r="DZ164" s="18"/>
      <c r="EA164" s="18"/>
      <c r="EB164" s="68"/>
      <c r="EC164" s="21"/>
      <c r="ED164" s="67"/>
      <c r="EE164" s="90"/>
      <c r="EF164" s="94"/>
      <c r="EG164" s="95"/>
      <c r="EH164" s="90"/>
      <c r="EI164" s="21"/>
      <c r="EJ164" s="20"/>
      <c r="EK164" s="96"/>
      <c r="EL164" s="66"/>
      <c r="EM164" s="21"/>
      <c r="EN164" s="22"/>
      <c r="EO164" s="18"/>
      <c r="EP164" s="68"/>
      <c r="EQ164" s="21"/>
      <c r="ER164" s="67"/>
      <c r="ES164" s="90"/>
      <c r="ET164" s="21"/>
      <c r="EU164" s="95"/>
      <c r="EV164" s="90"/>
      <c r="EW164" s="21"/>
      <c r="EX164" s="20"/>
      <c r="EY164" s="96"/>
      <c r="EZ164" s="66"/>
      <c r="FA164" s="21"/>
      <c r="FB164" s="22"/>
      <c r="FC164" s="22"/>
      <c r="FD164" s="97"/>
      <c r="FE164" s="97"/>
      <c r="FF164" s="97"/>
      <c r="FG164" s="20"/>
      <c r="FH164" s="21"/>
      <c r="FI164" s="18"/>
      <c r="FJ164" s="18"/>
      <c r="FK164" s="68"/>
      <c r="FL164" s="21"/>
      <c r="FM164" s="67"/>
      <c r="FN164" s="90"/>
      <c r="FO164" s="94"/>
      <c r="FP164" s="95"/>
      <c r="FQ164" s="90"/>
      <c r="FR164" s="21"/>
      <c r="FS164" s="20"/>
      <c r="FT164" s="96"/>
      <c r="FU164" s="66"/>
      <c r="FV164" s="21"/>
      <c r="FW164" s="22"/>
      <c r="FX164" s="22"/>
      <c r="FY164" s="97"/>
      <c r="FZ164" s="97"/>
      <c r="GA164" s="97"/>
      <c r="GB164" s="20"/>
      <c r="GC164" s="21"/>
      <c r="GD164" s="21"/>
      <c r="GE164" s="18"/>
      <c r="GF164" s="18"/>
      <c r="GG164" s="68"/>
      <c r="GH164" s="21"/>
      <c r="GI164" s="67"/>
      <c r="GJ164" s="90"/>
      <c r="GK164" s="94"/>
      <c r="GL164" s="95"/>
      <c r="GM164" s="90"/>
      <c r="GN164" s="21"/>
      <c r="GO164" s="20"/>
      <c r="GP164" s="96"/>
      <c r="GQ164" s="66"/>
      <c r="GR164" s="21"/>
      <c r="GS164" s="22"/>
      <c r="GT164" s="22"/>
      <c r="GU164" s="97"/>
      <c r="GV164" s="97"/>
      <c r="GW164" s="97"/>
      <c r="GX164" s="20"/>
      <c r="GY164" s="21"/>
      <c r="GZ164" s="21"/>
      <c r="HA164" s="18"/>
      <c r="HB164" s="18"/>
      <c r="HC164" s="68"/>
      <c r="HD164" s="21"/>
      <c r="HE164" s="67"/>
      <c r="HF164" s="90"/>
      <c r="HG164" s="94"/>
      <c r="HH164" s="95"/>
      <c r="HI164" s="90"/>
      <c r="HJ164" s="21"/>
      <c r="HK164" s="20"/>
      <c r="HL164" s="96"/>
      <c r="HM164" s="66"/>
      <c r="HN164" s="21"/>
      <c r="HO164" s="22"/>
      <c r="HP164" s="22"/>
      <c r="HQ164" s="97"/>
      <c r="HR164" s="97"/>
      <c r="HS164" s="97"/>
      <c r="HT164" s="20"/>
      <c r="HU164" s="21"/>
      <c r="HV164" s="21"/>
      <c r="HW164" s="18"/>
      <c r="HX164" s="18"/>
      <c r="HY164" s="68"/>
      <c r="HZ164" s="21"/>
      <c r="IA164" s="67"/>
      <c r="IB164" s="90"/>
      <c r="IC164" s="94"/>
      <c r="ID164" s="95"/>
      <c r="IE164" s="90"/>
      <c r="IF164" s="21"/>
      <c r="IG164" s="20"/>
      <c r="IH164" s="96"/>
      <c r="II164" s="66"/>
      <c r="IJ164" s="21"/>
      <c r="IK164" s="22"/>
      <c r="IL164" s="22"/>
      <c r="IM164" s="97"/>
      <c r="IN164" s="97"/>
      <c r="IO164" s="97"/>
      <c r="IP164" s="20"/>
      <c r="IQ164" s="21"/>
      <c r="IR164" s="21"/>
      <c r="IS164" s="18"/>
      <c r="IT164" s="18"/>
      <c r="IU164" s="68"/>
      <c r="IV164" s="21"/>
      <c r="IW164" s="67"/>
      <c r="IX164" s="90"/>
      <c r="IY164" s="94"/>
      <c r="IZ164" s="95"/>
      <c r="JA164" s="90"/>
      <c r="JB164" s="21"/>
      <c r="JC164" s="20"/>
      <c r="JD164" s="96"/>
      <c r="JE164" s="66"/>
      <c r="JF164" s="21"/>
      <c r="JG164" s="22"/>
      <c r="JH164" s="22"/>
      <c r="JI164" s="97"/>
      <c r="JJ164" s="97"/>
      <c r="JK164" s="97"/>
      <c r="JL164" s="20"/>
      <c r="JM164" s="21"/>
      <c r="JN164" s="21"/>
      <c r="JO164" s="18"/>
      <c r="JP164" s="18"/>
      <c r="JQ164" s="68"/>
      <c r="JR164" s="21"/>
      <c r="JS164" s="67"/>
      <c r="JT164" s="90"/>
      <c r="JU164" s="94"/>
      <c r="JV164" s="95"/>
      <c r="JW164" s="90"/>
      <c r="JX164" s="21"/>
      <c r="JY164" s="20"/>
      <c r="JZ164" s="96"/>
      <c r="KA164" s="66"/>
      <c r="KB164" s="21"/>
      <c r="KC164" s="22"/>
      <c r="KD164" s="22"/>
      <c r="KE164" s="97"/>
      <c r="KF164" s="97"/>
      <c r="KG164" s="97"/>
      <c r="KH164" s="20"/>
      <c r="KI164" s="21"/>
      <c r="KJ164" s="21"/>
      <c r="KK164" s="18"/>
      <c r="KL164" s="18"/>
      <c r="KM164" s="68"/>
      <c r="KN164" s="21"/>
      <c r="KO164" s="67"/>
      <c r="KP164" s="90"/>
      <c r="KQ164" s="94"/>
      <c r="KR164" s="95"/>
      <c r="KS164" s="90"/>
      <c r="KT164" s="21"/>
      <c r="KU164" s="20"/>
      <c r="KV164" s="96"/>
      <c r="KW164" s="66"/>
      <c r="KX164" s="21"/>
      <c r="KY164" s="22"/>
      <c r="KZ164" s="22"/>
      <c r="LA164" s="97"/>
      <c r="LB164" s="97"/>
      <c r="LC164" s="97"/>
      <c r="LD164" s="20"/>
      <c r="LE164" s="21"/>
      <c r="LF164" s="21"/>
      <c r="LG164" s="18"/>
      <c r="LH164" s="18"/>
      <c r="LI164" s="68"/>
      <c r="LJ164" s="21"/>
      <c r="LK164" s="67"/>
      <c r="LL164" s="90"/>
      <c r="LM164" s="94"/>
      <c r="LN164" s="95"/>
      <c r="LO164" s="90"/>
      <c r="LP164" s="21"/>
      <c r="LQ164" s="20"/>
      <c r="LR164" s="96"/>
      <c r="LS164" s="66"/>
      <c r="LT164" s="21"/>
      <c r="LU164" s="22"/>
      <c r="LV164" s="22"/>
      <c r="LW164" s="97"/>
      <c r="LX164" s="97"/>
      <c r="LY164" s="97"/>
      <c r="LZ164" s="20"/>
      <c r="MA164" s="21"/>
      <c r="MB164" s="21"/>
      <c r="MC164" s="18"/>
      <c r="MD164" s="18"/>
      <c r="ME164" s="68"/>
      <c r="MF164" s="21"/>
      <c r="MG164" s="67"/>
      <c r="MH164" s="90"/>
      <c r="MI164" s="94"/>
      <c r="MJ164" s="95"/>
      <c r="MK164" s="90"/>
      <c r="ML164" s="21"/>
      <c r="MM164" s="20"/>
      <c r="MN164" s="96"/>
      <c r="MO164" s="66"/>
      <c r="MP164" s="21"/>
      <c r="MQ164" s="22"/>
      <c r="MR164" s="22"/>
      <c r="MS164" s="97"/>
      <c r="MT164" s="97"/>
      <c r="MU164" s="97"/>
      <c r="MV164" s="20"/>
      <c r="MW164" s="21"/>
      <c r="MX164" s="21"/>
      <c r="MY164" s="18"/>
      <c r="MZ164" s="18"/>
      <c r="NA164" s="68"/>
      <c r="NB164" s="21"/>
      <c r="NC164" s="67"/>
      <c r="ND164" s="90"/>
      <c r="NE164" s="94"/>
      <c r="NF164" s="95"/>
      <c r="NG164" s="90"/>
      <c r="NH164" s="21"/>
      <c r="NI164" s="20"/>
      <c r="NJ164" s="96"/>
      <c r="NK164" s="66"/>
      <c r="NL164" s="21"/>
      <c r="NM164" s="22"/>
      <c r="NN164" s="22"/>
      <c r="NO164" s="97"/>
      <c r="NP164" s="97"/>
      <c r="NQ164" s="97"/>
      <c r="NR164" s="20"/>
      <c r="NS164" s="21"/>
      <c r="NT164" s="21"/>
      <c r="NU164" s="18"/>
      <c r="NV164" s="18"/>
      <c r="NW164" s="68"/>
      <c r="NX164" s="21"/>
      <c r="NY164" s="67"/>
      <c r="NZ164" s="90"/>
      <c r="OA164" s="94"/>
      <c r="OB164" s="95"/>
      <c r="OC164" s="90"/>
      <c r="OD164" s="21"/>
      <c r="OE164" s="20"/>
      <c r="OF164" s="96"/>
      <c r="OG164" s="66"/>
      <c r="OH164" s="21"/>
      <c r="OI164" s="22"/>
      <c r="OJ164" s="22"/>
      <c r="OK164" s="97"/>
      <c r="OL164" s="97"/>
      <c r="OM164" s="97"/>
      <c r="ON164" s="20"/>
      <c r="OO164" s="21"/>
      <c r="OP164" s="21"/>
      <c r="OQ164" s="18"/>
      <c r="OR164" s="18"/>
      <c r="OS164" s="68"/>
      <c r="OT164" s="21"/>
      <c r="OU164" s="67"/>
      <c r="OV164" s="90"/>
      <c r="OW164" s="94"/>
      <c r="OX164" s="95"/>
      <c r="OY164" s="90"/>
      <c r="OZ164" s="21"/>
      <c r="PA164" s="20"/>
      <c r="PB164" s="96"/>
      <c r="PC164" s="66"/>
      <c r="PD164" s="21"/>
      <c r="PE164" s="22"/>
      <c r="PF164" s="22"/>
      <c r="PG164" s="97"/>
      <c r="PH164" s="97"/>
      <c r="PI164" s="97"/>
      <c r="PJ164" s="20"/>
      <c r="PK164" s="21"/>
      <c r="PL164" s="21"/>
      <c r="PM164" s="18"/>
      <c r="PN164" s="18"/>
      <c r="PO164" s="68"/>
      <c r="PP164" s="21"/>
      <c r="PQ164" s="67"/>
      <c r="PR164" s="90"/>
      <c r="PS164" s="94"/>
      <c r="PT164" s="95"/>
      <c r="PU164" s="90"/>
      <c r="PV164" s="21"/>
      <c r="PW164" s="20"/>
      <c r="PX164" s="96"/>
      <c r="PY164" s="66"/>
      <c r="PZ164" s="21"/>
      <c r="QA164" s="22"/>
      <c r="QB164" s="22"/>
      <c r="QC164" s="97"/>
      <c r="QD164" s="97"/>
      <c r="QE164" s="97"/>
      <c r="QF164" s="20"/>
      <c r="QG164" s="21"/>
      <c r="QH164" s="21"/>
      <c r="QI164" s="18"/>
      <c r="QJ164" s="18"/>
      <c r="QK164" s="68"/>
      <c r="QL164" s="21"/>
      <c r="QM164" s="67"/>
      <c r="QN164" s="90"/>
      <c r="QO164" s="94"/>
      <c r="QP164" s="95"/>
      <c r="QQ164" s="90"/>
      <c r="QR164" s="21"/>
      <c r="QS164" s="20"/>
      <c r="QT164" s="96"/>
      <c r="QU164" s="66"/>
      <c r="QV164" s="21"/>
      <c r="QW164" s="22"/>
    </row>
    <row r="165" spans="1:465" ht="15" customHeight="1">
      <c r="A165" s="67">
        <v>160</v>
      </c>
      <c r="B165" s="68">
        <v>46251</v>
      </c>
      <c r="C165" s="67" t="s">
        <v>129</v>
      </c>
      <c r="D165" s="67" t="s">
        <v>106</v>
      </c>
      <c r="E165" s="67"/>
      <c r="F165" s="67" t="s">
        <v>254</v>
      </c>
      <c r="G165" s="67"/>
      <c r="H165" s="67" t="s">
        <v>105</v>
      </c>
      <c r="I165" s="67" t="s">
        <v>106</v>
      </c>
      <c r="J165" s="67">
        <v>716019</v>
      </c>
      <c r="K165" s="67">
        <v>2</v>
      </c>
      <c r="L165" s="125" t="s">
        <v>292</v>
      </c>
      <c r="M165" s="67"/>
      <c r="N165" s="67"/>
      <c r="O165" s="67"/>
      <c r="P165" s="67"/>
      <c r="Q165" s="67"/>
      <c r="R165" s="67"/>
      <c r="S165" s="67"/>
      <c r="T165" s="84"/>
      <c r="U165" s="67"/>
      <c r="V165" s="67"/>
      <c r="W165" s="21"/>
      <c r="X165" s="67"/>
      <c r="Y165" s="90"/>
      <c r="Z165" s="94"/>
      <c r="AA165" s="95"/>
      <c r="AB165" s="90"/>
      <c r="AC165" s="21"/>
      <c r="AD165" s="20"/>
      <c r="AE165" s="96"/>
      <c r="AF165" s="66"/>
      <c r="AG165" s="21"/>
      <c r="AH165" s="22"/>
      <c r="AI165" s="22"/>
      <c r="AJ165" s="97"/>
      <c r="AK165" s="97"/>
      <c r="AL165" s="97"/>
      <c r="AM165" s="20"/>
      <c r="AN165" s="21"/>
      <c r="AO165" s="21"/>
      <c r="AP165" s="18"/>
      <c r="AQ165" s="18"/>
      <c r="AR165" s="68"/>
      <c r="AS165" s="21"/>
      <c r="AT165" s="67"/>
      <c r="AU165" s="90"/>
      <c r="AV165" s="94"/>
      <c r="AW165" s="95"/>
      <c r="AX165" s="90"/>
      <c r="AY165" s="21"/>
      <c r="AZ165" s="20"/>
      <c r="BA165" s="96"/>
      <c r="BB165" s="66"/>
      <c r="BC165" s="21"/>
      <c r="BD165" s="22"/>
      <c r="BE165" s="22"/>
      <c r="BF165" s="97"/>
      <c r="BG165" s="97"/>
      <c r="BH165" s="97"/>
      <c r="BI165" s="20"/>
      <c r="BJ165" s="21"/>
      <c r="BK165" s="21"/>
      <c r="BL165" s="18"/>
      <c r="BM165" s="18"/>
      <c r="BN165" s="68"/>
      <c r="BO165" s="21"/>
      <c r="BP165" s="67"/>
      <c r="BQ165" s="90"/>
      <c r="BR165" s="94"/>
      <c r="BS165" s="95"/>
      <c r="BT165" s="90"/>
      <c r="BU165" s="21"/>
      <c r="BV165" s="20"/>
      <c r="BW165" s="96"/>
      <c r="BX165" s="66"/>
      <c r="BY165" s="21"/>
      <c r="BZ165" s="22"/>
      <c r="CA165" s="22"/>
      <c r="CB165" s="97"/>
      <c r="CC165" s="97"/>
      <c r="CD165" s="97"/>
      <c r="CE165" s="20"/>
      <c r="CF165" s="21"/>
      <c r="CG165" s="21"/>
      <c r="CH165" s="18"/>
      <c r="CI165" s="18"/>
      <c r="CJ165" s="68"/>
      <c r="CK165" s="21"/>
      <c r="CL165" s="67"/>
      <c r="CM165" s="90"/>
      <c r="CN165" s="94"/>
      <c r="CO165" s="95"/>
      <c r="CP165" s="90"/>
      <c r="CQ165" s="21"/>
      <c r="CR165" s="20"/>
      <c r="CS165" s="96"/>
      <c r="CT165" s="66"/>
      <c r="CU165" s="21"/>
      <c r="CV165" s="22"/>
      <c r="CW165" s="22"/>
      <c r="CX165" s="97"/>
      <c r="CY165" s="97"/>
      <c r="CZ165" s="97"/>
      <c r="DA165" s="20"/>
      <c r="DB165" s="21"/>
      <c r="DC165" s="21"/>
      <c r="DD165" s="18"/>
      <c r="DE165" s="18"/>
      <c r="DF165" s="68"/>
      <c r="DG165" s="21"/>
      <c r="DH165" s="67"/>
      <c r="DI165" s="90"/>
      <c r="DJ165" s="94"/>
      <c r="DK165" s="95"/>
      <c r="DL165" s="90"/>
      <c r="DM165" s="21"/>
      <c r="DN165" s="20"/>
      <c r="DO165" s="96"/>
      <c r="DP165" s="66"/>
      <c r="DQ165" s="21"/>
      <c r="DR165" s="22"/>
      <c r="DS165" s="22"/>
      <c r="DT165" s="97"/>
      <c r="DU165" s="97"/>
      <c r="DV165" s="97"/>
      <c r="DW165" s="20"/>
      <c r="DX165" s="21"/>
      <c r="DY165" s="21"/>
      <c r="DZ165" s="18"/>
      <c r="EA165" s="18"/>
      <c r="EB165" s="68"/>
      <c r="EC165" s="21"/>
      <c r="ED165" s="67"/>
      <c r="EE165" s="90"/>
      <c r="EF165" s="94"/>
      <c r="EG165" s="95"/>
      <c r="EH165" s="90"/>
      <c r="EI165" s="21"/>
      <c r="EJ165" s="20"/>
      <c r="EK165" s="96"/>
      <c r="EL165" s="66"/>
      <c r="EM165" s="21"/>
      <c r="EN165" s="22"/>
      <c r="EO165" s="18"/>
      <c r="EP165" s="68"/>
      <c r="EQ165" s="21"/>
      <c r="ER165" s="67"/>
      <c r="ES165" s="90"/>
      <c r="ET165" s="21"/>
      <c r="EU165" s="95"/>
      <c r="EV165" s="90"/>
      <c r="EW165" s="21"/>
      <c r="EX165" s="20"/>
      <c r="EY165" s="96"/>
      <c r="EZ165" s="66"/>
      <c r="FA165" s="21"/>
      <c r="FB165" s="22"/>
      <c r="FC165" s="22"/>
      <c r="FD165" s="97"/>
      <c r="FE165" s="97"/>
      <c r="FF165" s="97"/>
      <c r="FG165" s="20"/>
      <c r="FH165" s="21"/>
      <c r="FI165" s="18"/>
      <c r="FJ165" s="18"/>
      <c r="FK165" s="68"/>
      <c r="FL165" s="21"/>
      <c r="FM165" s="67"/>
      <c r="FN165" s="90"/>
      <c r="FO165" s="94"/>
      <c r="FP165" s="95"/>
      <c r="FQ165" s="90"/>
      <c r="FR165" s="21"/>
      <c r="FS165" s="20"/>
      <c r="FT165" s="96"/>
      <c r="FU165" s="66"/>
      <c r="FV165" s="21"/>
      <c r="FW165" s="22"/>
      <c r="FX165" s="22"/>
      <c r="FY165" s="97"/>
      <c r="FZ165" s="97"/>
      <c r="GA165" s="97"/>
      <c r="GB165" s="20"/>
      <c r="GC165" s="21"/>
      <c r="GD165" s="21"/>
      <c r="GE165" s="18"/>
      <c r="GF165" s="18"/>
      <c r="GG165" s="68"/>
      <c r="GH165" s="21"/>
      <c r="GI165" s="67"/>
      <c r="GJ165" s="90"/>
      <c r="GK165" s="94"/>
      <c r="GL165" s="95"/>
      <c r="GM165" s="90"/>
      <c r="GN165" s="21"/>
      <c r="GO165" s="20"/>
      <c r="GP165" s="96"/>
      <c r="GQ165" s="66"/>
      <c r="GR165" s="21"/>
      <c r="GS165" s="22"/>
      <c r="GT165" s="22"/>
      <c r="GU165" s="97"/>
      <c r="GV165" s="97"/>
      <c r="GW165" s="97"/>
      <c r="GX165" s="20"/>
      <c r="GY165" s="21"/>
      <c r="GZ165" s="21"/>
      <c r="HA165" s="18"/>
      <c r="HB165" s="18"/>
      <c r="HC165" s="68"/>
      <c r="HD165" s="21"/>
      <c r="HE165" s="67"/>
      <c r="HF165" s="90"/>
      <c r="HG165" s="94"/>
      <c r="HH165" s="95"/>
      <c r="HI165" s="90"/>
      <c r="HJ165" s="21"/>
      <c r="HK165" s="20"/>
      <c r="HL165" s="96"/>
      <c r="HM165" s="66"/>
      <c r="HN165" s="21"/>
      <c r="HO165" s="22"/>
      <c r="HP165" s="22"/>
      <c r="HQ165" s="97"/>
      <c r="HR165" s="97"/>
      <c r="HS165" s="97"/>
      <c r="HT165" s="20"/>
      <c r="HU165" s="21"/>
      <c r="HV165" s="21"/>
      <c r="HW165" s="18"/>
      <c r="HX165" s="18"/>
      <c r="HY165" s="68"/>
      <c r="HZ165" s="21"/>
      <c r="IA165" s="67"/>
      <c r="IB165" s="90"/>
      <c r="IC165" s="94"/>
      <c r="ID165" s="95"/>
      <c r="IE165" s="90"/>
      <c r="IF165" s="21"/>
      <c r="IG165" s="20"/>
      <c r="IH165" s="96"/>
      <c r="II165" s="66"/>
      <c r="IJ165" s="21"/>
      <c r="IK165" s="22"/>
      <c r="IL165" s="22"/>
      <c r="IM165" s="97"/>
      <c r="IN165" s="97"/>
      <c r="IO165" s="97"/>
      <c r="IP165" s="20"/>
      <c r="IQ165" s="21"/>
      <c r="IR165" s="21"/>
      <c r="IS165" s="18"/>
      <c r="IT165" s="18"/>
      <c r="IU165" s="68"/>
      <c r="IV165" s="21"/>
      <c r="IW165" s="67"/>
      <c r="IX165" s="90"/>
      <c r="IY165" s="94"/>
      <c r="IZ165" s="95"/>
      <c r="JA165" s="90"/>
      <c r="JB165" s="21"/>
      <c r="JC165" s="20"/>
      <c r="JD165" s="96"/>
      <c r="JE165" s="66"/>
      <c r="JF165" s="21"/>
      <c r="JG165" s="22"/>
      <c r="JH165" s="22"/>
      <c r="JI165" s="97"/>
      <c r="JJ165" s="97"/>
      <c r="JK165" s="97"/>
      <c r="JL165" s="20"/>
      <c r="JM165" s="21"/>
      <c r="JN165" s="21"/>
      <c r="JO165" s="18"/>
      <c r="JP165" s="18"/>
      <c r="JQ165" s="68"/>
      <c r="JR165" s="21"/>
      <c r="JS165" s="67"/>
      <c r="JT165" s="90"/>
      <c r="JU165" s="94"/>
      <c r="JV165" s="95"/>
      <c r="JW165" s="90"/>
      <c r="JX165" s="21"/>
      <c r="JY165" s="20"/>
      <c r="JZ165" s="96"/>
      <c r="KA165" s="66"/>
      <c r="KB165" s="21"/>
      <c r="KC165" s="22"/>
      <c r="KD165" s="22"/>
      <c r="KE165" s="97"/>
      <c r="KF165" s="97"/>
      <c r="KG165" s="97"/>
      <c r="KH165" s="20"/>
      <c r="KI165" s="21"/>
      <c r="KJ165" s="21"/>
      <c r="KK165" s="18"/>
      <c r="KL165" s="18"/>
      <c r="KM165" s="68"/>
      <c r="KN165" s="21"/>
      <c r="KO165" s="67"/>
      <c r="KP165" s="90"/>
      <c r="KQ165" s="94"/>
      <c r="KR165" s="95"/>
      <c r="KS165" s="90"/>
      <c r="KT165" s="21"/>
      <c r="KU165" s="20"/>
      <c r="KV165" s="96"/>
      <c r="KW165" s="66"/>
      <c r="KX165" s="21"/>
      <c r="KY165" s="22"/>
      <c r="KZ165" s="22"/>
      <c r="LA165" s="97"/>
      <c r="LB165" s="97"/>
      <c r="LC165" s="97"/>
      <c r="LD165" s="20"/>
      <c r="LE165" s="21"/>
      <c r="LF165" s="21"/>
      <c r="LG165" s="18"/>
      <c r="LH165" s="18"/>
      <c r="LI165" s="68"/>
      <c r="LJ165" s="21"/>
      <c r="LK165" s="67"/>
      <c r="LL165" s="90"/>
      <c r="LM165" s="94"/>
      <c r="LN165" s="95"/>
      <c r="LO165" s="90"/>
      <c r="LP165" s="21"/>
      <c r="LQ165" s="20"/>
      <c r="LR165" s="96"/>
      <c r="LS165" s="66"/>
      <c r="LT165" s="21"/>
      <c r="LU165" s="22"/>
      <c r="LV165" s="22"/>
      <c r="LW165" s="97"/>
      <c r="LX165" s="97"/>
      <c r="LY165" s="97"/>
      <c r="LZ165" s="20"/>
      <c r="MA165" s="21"/>
      <c r="MB165" s="21"/>
      <c r="MC165" s="18"/>
      <c r="MD165" s="18"/>
      <c r="ME165" s="68"/>
      <c r="MF165" s="21"/>
      <c r="MG165" s="67"/>
      <c r="MH165" s="90"/>
      <c r="MI165" s="94"/>
      <c r="MJ165" s="95"/>
      <c r="MK165" s="90"/>
      <c r="ML165" s="21"/>
      <c r="MM165" s="20"/>
      <c r="MN165" s="96"/>
      <c r="MO165" s="66"/>
      <c r="MP165" s="21"/>
      <c r="MQ165" s="22"/>
      <c r="MR165" s="22"/>
      <c r="MS165" s="97"/>
      <c r="MT165" s="97"/>
      <c r="MU165" s="97"/>
      <c r="MV165" s="20"/>
      <c r="MW165" s="21"/>
      <c r="MX165" s="21"/>
      <c r="MY165" s="18"/>
      <c r="MZ165" s="18"/>
      <c r="NA165" s="68"/>
      <c r="NB165" s="21"/>
      <c r="NC165" s="67"/>
      <c r="ND165" s="90"/>
      <c r="NE165" s="94"/>
      <c r="NF165" s="95"/>
      <c r="NG165" s="90"/>
      <c r="NH165" s="21"/>
      <c r="NI165" s="20"/>
      <c r="NJ165" s="96"/>
      <c r="NK165" s="66"/>
      <c r="NL165" s="21"/>
      <c r="NM165" s="22"/>
      <c r="NN165" s="22"/>
      <c r="NO165" s="97"/>
      <c r="NP165" s="97"/>
      <c r="NQ165" s="97"/>
      <c r="NR165" s="20"/>
      <c r="NS165" s="21"/>
      <c r="NT165" s="21"/>
      <c r="NU165" s="18"/>
      <c r="NV165" s="18"/>
      <c r="NW165" s="68"/>
      <c r="NX165" s="21"/>
      <c r="NY165" s="67"/>
      <c r="NZ165" s="90"/>
      <c r="OA165" s="94"/>
      <c r="OB165" s="95"/>
      <c r="OC165" s="90"/>
      <c r="OD165" s="21"/>
      <c r="OE165" s="20"/>
      <c r="OF165" s="96"/>
      <c r="OG165" s="66"/>
      <c r="OH165" s="21"/>
      <c r="OI165" s="22"/>
      <c r="OJ165" s="22"/>
      <c r="OK165" s="97"/>
      <c r="OL165" s="97"/>
      <c r="OM165" s="97"/>
      <c r="ON165" s="20"/>
      <c r="OO165" s="21"/>
      <c r="OP165" s="21"/>
      <c r="OQ165" s="18"/>
      <c r="OR165" s="18"/>
      <c r="OS165" s="68"/>
      <c r="OT165" s="21"/>
      <c r="OU165" s="67"/>
      <c r="OV165" s="90"/>
      <c r="OW165" s="94"/>
      <c r="OX165" s="95"/>
      <c r="OY165" s="90"/>
      <c r="OZ165" s="21"/>
      <c r="PA165" s="20"/>
      <c r="PB165" s="96"/>
      <c r="PC165" s="66"/>
      <c r="PD165" s="21"/>
      <c r="PE165" s="22"/>
      <c r="PF165" s="22"/>
      <c r="PG165" s="97"/>
      <c r="PH165" s="97"/>
      <c r="PI165" s="97"/>
      <c r="PJ165" s="20"/>
      <c r="PK165" s="21"/>
      <c r="PL165" s="21"/>
      <c r="PM165" s="18"/>
      <c r="PN165" s="18"/>
      <c r="PO165" s="68"/>
      <c r="PP165" s="21"/>
      <c r="PQ165" s="67"/>
      <c r="PR165" s="90"/>
      <c r="PS165" s="94"/>
      <c r="PT165" s="95"/>
      <c r="PU165" s="90"/>
      <c r="PV165" s="21"/>
      <c r="PW165" s="20"/>
      <c r="PX165" s="96"/>
      <c r="PY165" s="66"/>
      <c r="PZ165" s="21"/>
      <c r="QA165" s="22"/>
      <c r="QB165" s="22"/>
      <c r="QC165" s="97"/>
      <c r="QD165" s="97"/>
      <c r="QE165" s="97"/>
      <c r="QF165" s="20"/>
      <c r="QG165" s="21"/>
      <c r="QH165" s="21"/>
      <c r="QI165" s="18"/>
      <c r="QJ165" s="18"/>
      <c r="QK165" s="68"/>
      <c r="QL165" s="21"/>
      <c r="QM165" s="67"/>
      <c r="QN165" s="90"/>
      <c r="QO165" s="94"/>
      <c r="QP165" s="95"/>
      <c r="QQ165" s="90"/>
      <c r="QR165" s="21"/>
      <c r="QS165" s="20"/>
      <c r="QT165" s="96"/>
      <c r="QU165" s="66"/>
      <c r="QV165" s="21"/>
      <c r="QW165" s="22"/>
    </row>
    <row r="166" spans="1:465" ht="15" customHeight="1">
      <c r="A166" s="67">
        <v>161</v>
      </c>
      <c r="B166" s="68">
        <v>46251</v>
      </c>
      <c r="C166" s="67" t="s">
        <v>131</v>
      </c>
      <c r="D166" s="67" t="s">
        <v>106</v>
      </c>
      <c r="E166" s="67"/>
      <c r="F166" s="67" t="s">
        <v>269</v>
      </c>
      <c r="G166" s="67"/>
      <c r="H166" s="67" t="s">
        <v>105</v>
      </c>
      <c r="I166" s="67" t="s">
        <v>106</v>
      </c>
      <c r="J166" s="67"/>
      <c r="K166" s="67"/>
      <c r="L166" s="125" t="s">
        <v>293</v>
      </c>
      <c r="M166" s="67"/>
      <c r="N166" s="67"/>
      <c r="O166" s="67"/>
      <c r="P166" s="67"/>
      <c r="Q166" s="67"/>
      <c r="R166" s="67"/>
      <c r="S166" s="67"/>
      <c r="T166" s="84"/>
      <c r="U166" s="67"/>
      <c r="V166" s="67"/>
      <c r="W166" s="21"/>
      <c r="X166" s="67"/>
      <c r="Y166" s="90"/>
      <c r="Z166" s="94"/>
      <c r="AA166" s="95"/>
      <c r="AB166" s="90"/>
      <c r="AC166" s="21"/>
      <c r="AD166" s="20"/>
      <c r="AE166" s="96"/>
      <c r="AF166" s="66"/>
      <c r="AG166" s="21"/>
      <c r="AH166" s="22"/>
      <c r="AI166" s="22"/>
      <c r="AJ166" s="97"/>
      <c r="AK166" s="97"/>
      <c r="AL166" s="97"/>
      <c r="AM166" s="20"/>
      <c r="AN166" s="21"/>
      <c r="AO166" s="21"/>
      <c r="AP166" s="18"/>
      <c r="AQ166" s="18"/>
      <c r="AR166" s="68"/>
      <c r="AS166" s="21"/>
      <c r="AT166" s="67"/>
      <c r="AU166" s="90"/>
      <c r="AV166" s="94"/>
      <c r="AW166" s="95"/>
      <c r="AX166" s="90"/>
      <c r="AY166" s="21"/>
      <c r="AZ166" s="20"/>
      <c r="BA166" s="96"/>
      <c r="BB166" s="66"/>
      <c r="BC166" s="21"/>
      <c r="BD166" s="22"/>
      <c r="BE166" s="22"/>
      <c r="BF166" s="97"/>
      <c r="BG166" s="97"/>
      <c r="BH166" s="97"/>
      <c r="BI166" s="20"/>
      <c r="BJ166" s="21"/>
      <c r="BK166" s="21"/>
      <c r="BL166" s="18"/>
      <c r="BM166" s="18"/>
      <c r="BN166" s="68"/>
      <c r="BO166" s="21"/>
      <c r="BP166" s="67"/>
      <c r="BQ166" s="90"/>
      <c r="BR166" s="94"/>
      <c r="BS166" s="95"/>
      <c r="BT166" s="90"/>
      <c r="BU166" s="21"/>
      <c r="BV166" s="20"/>
      <c r="BW166" s="96"/>
      <c r="BX166" s="66"/>
      <c r="BY166" s="21"/>
      <c r="BZ166" s="22"/>
      <c r="CA166" s="22"/>
      <c r="CB166" s="97"/>
      <c r="CC166" s="97"/>
      <c r="CD166" s="97"/>
      <c r="CE166" s="20"/>
      <c r="CF166" s="21"/>
      <c r="CG166" s="21"/>
      <c r="CH166" s="18"/>
      <c r="CI166" s="18"/>
      <c r="CJ166" s="68"/>
      <c r="CK166" s="21"/>
      <c r="CL166" s="67"/>
      <c r="CM166" s="90"/>
      <c r="CN166" s="94"/>
      <c r="CO166" s="95"/>
      <c r="CP166" s="90"/>
      <c r="CQ166" s="21"/>
      <c r="CR166" s="20"/>
      <c r="CS166" s="96"/>
      <c r="CT166" s="66"/>
      <c r="CU166" s="21"/>
      <c r="CV166" s="22"/>
      <c r="CW166" s="22"/>
      <c r="CX166" s="97"/>
      <c r="CY166" s="97"/>
      <c r="CZ166" s="97"/>
      <c r="DA166" s="20"/>
      <c r="DB166" s="21"/>
      <c r="DC166" s="21"/>
      <c r="DD166" s="18"/>
      <c r="DE166" s="18"/>
      <c r="DF166" s="68"/>
      <c r="DG166" s="21"/>
      <c r="DH166" s="67"/>
      <c r="DI166" s="90"/>
      <c r="DJ166" s="94"/>
      <c r="DK166" s="95"/>
      <c r="DL166" s="90"/>
      <c r="DM166" s="21"/>
      <c r="DN166" s="20"/>
      <c r="DO166" s="96"/>
      <c r="DP166" s="66"/>
      <c r="DQ166" s="21"/>
      <c r="DR166" s="22"/>
      <c r="DS166" s="22"/>
      <c r="DT166" s="97"/>
      <c r="DU166" s="97"/>
      <c r="DV166" s="97"/>
      <c r="DW166" s="20"/>
      <c r="DX166" s="21"/>
      <c r="DY166" s="21"/>
      <c r="DZ166" s="18"/>
      <c r="EA166" s="18"/>
      <c r="EB166" s="68"/>
      <c r="EC166" s="21"/>
      <c r="ED166" s="67"/>
      <c r="EE166" s="90"/>
      <c r="EF166" s="94"/>
      <c r="EG166" s="95"/>
      <c r="EH166" s="90"/>
      <c r="EI166" s="21"/>
      <c r="EJ166" s="20"/>
      <c r="EK166" s="96"/>
      <c r="EL166" s="66"/>
      <c r="EM166" s="21"/>
      <c r="EN166" s="22"/>
      <c r="EO166" s="18"/>
      <c r="EP166" s="68"/>
      <c r="EQ166" s="21"/>
      <c r="ER166" s="67"/>
      <c r="ES166" s="90"/>
      <c r="ET166" s="21"/>
      <c r="EU166" s="95"/>
      <c r="EV166" s="90"/>
      <c r="EW166" s="21"/>
      <c r="EX166" s="20"/>
      <c r="EY166" s="96"/>
      <c r="EZ166" s="66"/>
      <c r="FA166" s="21"/>
      <c r="FB166" s="22"/>
      <c r="FC166" s="22"/>
      <c r="FD166" s="97"/>
      <c r="FE166" s="97"/>
      <c r="FF166" s="97"/>
      <c r="FG166" s="20"/>
      <c r="FH166" s="21"/>
      <c r="FI166" s="18"/>
      <c r="FJ166" s="18"/>
      <c r="FK166" s="68"/>
      <c r="FL166" s="21"/>
      <c r="FM166" s="67"/>
      <c r="FN166" s="90"/>
      <c r="FO166" s="94"/>
      <c r="FP166" s="95"/>
      <c r="FQ166" s="90"/>
      <c r="FR166" s="21"/>
      <c r="FS166" s="20"/>
      <c r="FT166" s="96"/>
      <c r="FU166" s="66"/>
      <c r="FV166" s="21"/>
      <c r="FW166" s="22"/>
      <c r="FX166" s="22"/>
      <c r="FY166" s="97"/>
      <c r="FZ166" s="97"/>
      <c r="GA166" s="97"/>
      <c r="GB166" s="20"/>
      <c r="GC166" s="21"/>
      <c r="GD166" s="21"/>
      <c r="GE166" s="18"/>
      <c r="GF166" s="18"/>
      <c r="GG166" s="68"/>
      <c r="GH166" s="21"/>
      <c r="GI166" s="67"/>
      <c r="GJ166" s="90"/>
      <c r="GK166" s="94"/>
      <c r="GL166" s="95"/>
      <c r="GM166" s="90"/>
      <c r="GN166" s="21"/>
      <c r="GO166" s="20"/>
      <c r="GP166" s="96"/>
      <c r="GQ166" s="66"/>
      <c r="GR166" s="21"/>
      <c r="GS166" s="22"/>
      <c r="GT166" s="22"/>
      <c r="GU166" s="97"/>
      <c r="GV166" s="97"/>
      <c r="GW166" s="97"/>
      <c r="GX166" s="20"/>
      <c r="GY166" s="21"/>
      <c r="GZ166" s="21"/>
      <c r="HA166" s="18"/>
      <c r="HB166" s="18"/>
      <c r="HC166" s="68"/>
      <c r="HD166" s="21"/>
      <c r="HE166" s="67"/>
      <c r="HF166" s="90"/>
      <c r="HG166" s="94"/>
      <c r="HH166" s="95"/>
      <c r="HI166" s="90"/>
      <c r="HJ166" s="21"/>
      <c r="HK166" s="20"/>
      <c r="HL166" s="96"/>
      <c r="HM166" s="66"/>
      <c r="HN166" s="21"/>
      <c r="HO166" s="22"/>
      <c r="HP166" s="22"/>
      <c r="HQ166" s="97"/>
      <c r="HR166" s="97"/>
      <c r="HS166" s="97"/>
      <c r="HT166" s="20"/>
      <c r="HU166" s="21"/>
      <c r="HV166" s="21"/>
      <c r="HW166" s="18"/>
      <c r="HX166" s="18"/>
      <c r="HY166" s="68"/>
      <c r="HZ166" s="21"/>
      <c r="IA166" s="67"/>
      <c r="IB166" s="90"/>
      <c r="IC166" s="94"/>
      <c r="ID166" s="95"/>
      <c r="IE166" s="90"/>
      <c r="IF166" s="21"/>
      <c r="IG166" s="20"/>
      <c r="IH166" s="96"/>
      <c r="II166" s="66"/>
      <c r="IJ166" s="21"/>
      <c r="IK166" s="22"/>
      <c r="IL166" s="22"/>
      <c r="IM166" s="97"/>
      <c r="IN166" s="97"/>
      <c r="IO166" s="97"/>
      <c r="IP166" s="20"/>
      <c r="IQ166" s="21"/>
      <c r="IR166" s="21"/>
      <c r="IS166" s="18"/>
      <c r="IT166" s="18"/>
      <c r="IU166" s="68"/>
      <c r="IV166" s="21"/>
      <c r="IW166" s="67"/>
      <c r="IX166" s="90"/>
      <c r="IY166" s="94"/>
      <c r="IZ166" s="95"/>
      <c r="JA166" s="90"/>
      <c r="JB166" s="21"/>
      <c r="JC166" s="20"/>
      <c r="JD166" s="96"/>
      <c r="JE166" s="66"/>
      <c r="JF166" s="21"/>
      <c r="JG166" s="22"/>
      <c r="JH166" s="22"/>
      <c r="JI166" s="97"/>
      <c r="JJ166" s="97"/>
      <c r="JK166" s="97"/>
      <c r="JL166" s="20"/>
      <c r="JM166" s="21"/>
      <c r="JN166" s="21"/>
      <c r="JO166" s="18"/>
      <c r="JP166" s="18"/>
      <c r="JQ166" s="68"/>
      <c r="JR166" s="21"/>
      <c r="JS166" s="67"/>
      <c r="JT166" s="90"/>
      <c r="JU166" s="94"/>
      <c r="JV166" s="95"/>
      <c r="JW166" s="90"/>
      <c r="JX166" s="21"/>
      <c r="JY166" s="20"/>
      <c r="JZ166" s="96"/>
      <c r="KA166" s="66"/>
      <c r="KB166" s="21"/>
      <c r="KC166" s="22"/>
      <c r="KD166" s="22"/>
      <c r="KE166" s="97"/>
      <c r="KF166" s="97"/>
      <c r="KG166" s="97"/>
      <c r="KH166" s="20"/>
      <c r="KI166" s="21"/>
      <c r="KJ166" s="21"/>
      <c r="KK166" s="18"/>
      <c r="KL166" s="18"/>
      <c r="KM166" s="68"/>
      <c r="KN166" s="21"/>
      <c r="KO166" s="67"/>
      <c r="KP166" s="90"/>
      <c r="KQ166" s="94"/>
      <c r="KR166" s="95"/>
      <c r="KS166" s="90"/>
      <c r="KT166" s="21"/>
      <c r="KU166" s="20"/>
      <c r="KV166" s="96"/>
      <c r="KW166" s="66"/>
      <c r="KX166" s="21"/>
      <c r="KY166" s="22"/>
      <c r="KZ166" s="22"/>
      <c r="LA166" s="97"/>
      <c r="LB166" s="97"/>
      <c r="LC166" s="97"/>
      <c r="LD166" s="20"/>
      <c r="LE166" s="21"/>
      <c r="LF166" s="21"/>
      <c r="LG166" s="18"/>
      <c r="LH166" s="18"/>
      <c r="LI166" s="68"/>
      <c r="LJ166" s="21"/>
      <c r="LK166" s="67"/>
      <c r="LL166" s="90"/>
      <c r="LM166" s="94"/>
      <c r="LN166" s="95"/>
      <c r="LO166" s="90"/>
      <c r="LP166" s="21"/>
      <c r="LQ166" s="20"/>
      <c r="LR166" s="96"/>
      <c r="LS166" s="66"/>
      <c r="LT166" s="21"/>
      <c r="LU166" s="22"/>
      <c r="LV166" s="22"/>
      <c r="LW166" s="97"/>
      <c r="LX166" s="97"/>
      <c r="LY166" s="97"/>
      <c r="LZ166" s="20"/>
      <c r="MA166" s="21"/>
      <c r="MB166" s="21"/>
      <c r="MC166" s="18"/>
      <c r="MD166" s="18"/>
      <c r="ME166" s="68"/>
      <c r="MF166" s="21"/>
      <c r="MG166" s="67"/>
      <c r="MH166" s="90"/>
      <c r="MI166" s="94"/>
      <c r="MJ166" s="95"/>
      <c r="MK166" s="90"/>
      <c r="ML166" s="21"/>
      <c r="MM166" s="20"/>
      <c r="MN166" s="96"/>
      <c r="MO166" s="66"/>
      <c r="MP166" s="21"/>
      <c r="MQ166" s="22"/>
      <c r="MR166" s="22"/>
      <c r="MS166" s="97"/>
      <c r="MT166" s="97"/>
      <c r="MU166" s="97"/>
      <c r="MV166" s="20"/>
      <c r="MW166" s="21"/>
      <c r="MX166" s="21"/>
      <c r="MY166" s="18"/>
      <c r="MZ166" s="18"/>
      <c r="NA166" s="68"/>
      <c r="NB166" s="21"/>
      <c r="NC166" s="67"/>
      <c r="ND166" s="90"/>
      <c r="NE166" s="94"/>
      <c r="NF166" s="95"/>
      <c r="NG166" s="90"/>
      <c r="NH166" s="21"/>
      <c r="NI166" s="20"/>
      <c r="NJ166" s="96"/>
      <c r="NK166" s="66"/>
      <c r="NL166" s="21"/>
      <c r="NM166" s="22"/>
      <c r="NN166" s="22"/>
      <c r="NO166" s="97"/>
      <c r="NP166" s="97"/>
      <c r="NQ166" s="97"/>
      <c r="NR166" s="20"/>
      <c r="NS166" s="21"/>
      <c r="NT166" s="21"/>
      <c r="NU166" s="18"/>
      <c r="NV166" s="18"/>
      <c r="NW166" s="68"/>
      <c r="NX166" s="21"/>
      <c r="NY166" s="67"/>
      <c r="NZ166" s="90"/>
      <c r="OA166" s="94"/>
      <c r="OB166" s="95"/>
      <c r="OC166" s="90"/>
      <c r="OD166" s="21"/>
      <c r="OE166" s="20"/>
      <c r="OF166" s="96"/>
      <c r="OG166" s="66"/>
      <c r="OH166" s="21"/>
      <c r="OI166" s="22"/>
      <c r="OJ166" s="22"/>
      <c r="OK166" s="97"/>
      <c r="OL166" s="97"/>
      <c r="OM166" s="97"/>
      <c r="ON166" s="20"/>
      <c r="OO166" s="21"/>
      <c r="OP166" s="21"/>
      <c r="OQ166" s="18"/>
      <c r="OR166" s="18"/>
      <c r="OS166" s="68"/>
      <c r="OT166" s="21"/>
      <c r="OU166" s="67"/>
      <c r="OV166" s="90"/>
      <c r="OW166" s="94"/>
      <c r="OX166" s="95"/>
      <c r="OY166" s="90"/>
      <c r="OZ166" s="21"/>
      <c r="PA166" s="20"/>
      <c r="PB166" s="96"/>
      <c r="PC166" s="66"/>
      <c r="PD166" s="21"/>
      <c r="PE166" s="22"/>
      <c r="PF166" s="22"/>
      <c r="PG166" s="97"/>
      <c r="PH166" s="97"/>
      <c r="PI166" s="97"/>
      <c r="PJ166" s="20"/>
      <c r="PK166" s="21"/>
      <c r="PL166" s="21"/>
      <c r="PM166" s="18"/>
      <c r="PN166" s="18"/>
      <c r="PO166" s="68"/>
      <c r="PP166" s="21"/>
      <c r="PQ166" s="67"/>
      <c r="PR166" s="90"/>
      <c r="PS166" s="94"/>
      <c r="PT166" s="95"/>
      <c r="PU166" s="90"/>
      <c r="PV166" s="21"/>
      <c r="PW166" s="20"/>
      <c r="PX166" s="96"/>
      <c r="PY166" s="66"/>
      <c r="PZ166" s="21"/>
      <c r="QA166" s="22"/>
      <c r="QB166" s="22"/>
      <c r="QC166" s="97"/>
      <c r="QD166" s="97"/>
      <c r="QE166" s="97"/>
      <c r="QF166" s="20"/>
      <c r="QG166" s="21"/>
      <c r="QH166" s="21"/>
      <c r="QI166" s="18"/>
      <c r="QJ166" s="18"/>
      <c r="QK166" s="68"/>
      <c r="QL166" s="21"/>
      <c r="QM166" s="67"/>
      <c r="QN166" s="90"/>
      <c r="QO166" s="94"/>
      <c r="QP166" s="95"/>
      <c r="QQ166" s="90"/>
      <c r="QR166" s="21"/>
      <c r="QS166" s="20"/>
      <c r="QT166" s="96"/>
      <c r="QU166" s="66"/>
      <c r="QV166" s="21"/>
      <c r="QW166" s="22"/>
    </row>
    <row r="167" spans="1:465" ht="15" customHeight="1">
      <c r="A167" s="67">
        <v>162</v>
      </c>
      <c r="B167" s="68">
        <v>46252</v>
      </c>
      <c r="C167" s="67" t="s">
        <v>131</v>
      </c>
      <c r="D167" s="67" t="s">
        <v>106</v>
      </c>
      <c r="E167" s="67"/>
      <c r="F167" s="67" t="s">
        <v>269</v>
      </c>
      <c r="G167" s="67"/>
      <c r="H167" s="67" t="s">
        <v>105</v>
      </c>
      <c r="I167" s="67" t="s">
        <v>106</v>
      </c>
      <c r="J167" s="67"/>
      <c r="K167" s="67"/>
      <c r="L167" s="125" t="s">
        <v>294</v>
      </c>
      <c r="M167" s="67"/>
      <c r="N167" s="67"/>
      <c r="O167" s="67"/>
      <c r="P167" s="67"/>
      <c r="Q167" s="67"/>
      <c r="R167" s="67"/>
      <c r="S167" s="67"/>
      <c r="T167" s="84"/>
      <c r="U167" s="67"/>
      <c r="V167" s="67"/>
      <c r="W167" s="21"/>
      <c r="X167" s="67"/>
      <c r="Y167" s="90"/>
      <c r="Z167" s="94"/>
      <c r="AA167" s="95"/>
      <c r="AB167" s="90"/>
      <c r="AC167" s="21"/>
      <c r="AD167" s="20"/>
      <c r="AE167" s="96"/>
      <c r="AF167" s="66"/>
      <c r="AG167" s="21"/>
      <c r="AH167" s="22"/>
      <c r="AI167" s="22"/>
      <c r="AJ167" s="97"/>
      <c r="AK167" s="97"/>
      <c r="AL167" s="97"/>
      <c r="AM167" s="20"/>
      <c r="AN167" s="21"/>
      <c r="AO167" s="21"/>
      <c r="AP167" s="18"/>
      <c r="AQ167" s="18"/>
      <c r="AR167" s="68"/>
      <c r="AS167" s="21"/>
      <c r="AT167" s="67"/>
      <c r="AU167" s="90"/>
      <c r="AV167" s="94"/>
      <c r="AW167" s="95"/>
      <c r="AX167" s="90"/>
      <c r="AY167" s="21"/>
      <c r="AZ167" s="20"/>
      <c r="BA167" s="96"/>
      <c r="BB167" s="66"/>
      <c r="BC167" s="21"/>
      <c r="BD167" s="22"/>
      <c r="BE167" s="22"/>
      <c r="BF167" s="97"/>
      <c r="BG167" s="97"/>
      <c r="BH167" s="97"/>
      <c r="BI167" s="20"/>
      <c r="BJ167" s="21"/>
      <c r="BK167" s="21"/>
      <c r="BL167" s="18"/>
      <c r="BM167" s="18"/>
      <c r="BN167" s="68"/>
      <c r="BO167" s="21"/>
      <c r="BP167" s="67"/>
      <c r="BQ167" s="90"/>
      <c r="BR167" s="94"/>
      <c r="BS167" s="95"/>
      <c r="BT167" s="90"/>
      <c r="BU167" s="21"/>
      <c r="BV167" s="20"/>
      <c r="BW167" s="96"/>
      <c r="BX167" s="66"/>
      <c r="BY167" s="21"/>
      <c r="BZ167" s="22"/>
      <c r="CA167" s="22"/>
      <c r="CB167" s="97"/>
      <c r="CC167" s="97"/>
      <c r="CD167" s="97"/>
      <c r="CE167" s="20"/>
      <c r="CF167" s="21"/>
      <c r="CG167" s="21"/>
      <c r="CH167" s="18"/>
      <c r="CI167" s="18"/>
      <c r="CJ167" s="68"/>
      <c r="CK167" s="21"/>
      <c r="CL167" s="67"/>
      <c r="CM167" s="90"/>
      <c r="CN167" s="94"/>
      <c r="CO167" s="95"/>
      <c r="CP167" s="90"/>
      <c r="CQ167" s="21"/>
      <c r="CR167" s="20"/>
      <c r="CS167" s="96"/>
      <c r="CT167" s="66"/>
      <c r="CU167" s="21"/>
      <c r="CV167" s="22"/>
      <c r="CW167" s="22"/>
      <c r="CX167" s="97"/>
      <c r="CY167" s="97"/>
      <c r="CZ167" s="97"/>
      <c r="DA167" s="20"/>
      <c r="DB167" s="21"/>
      <c r="DC167" s="21"/>
      <c r="DD167" s="18"/>
      <c r="DE167" s="18"/>
      <c r="DF167" s="68"/>
      <c r="DG167" s="21"/>
      <c r="DH167" s="67"/>
      <c r="DI167" s="90"/>
      <c r="DJ167" s="94"/>
      <c r="DK167" s="95"/>
      <c r="DL167" s="90"/>
      <c r="DM167" s="21"/>
      <c r="DN167" s="20"/>
      <c r="DO167" s="96"/>
      <c r="DP167" s="66"/>
      <c r="DQ167" s="21"/>
      <c r="DR167" s="22"/>
      <c r="DS167" s="22"/>
      <c r="DT167" s="97"/>
      <c r="DU167" s="97"/>
      <c r="DV167" s="97"/>
      <c r="DW167" s="20"/>
      <c r="DX167" s="21"/>
      <c r="DY167" s="21"/>
      <c r="DZ167" s="18"/>
      <c r="EA167" s="18"/>
      <c r="EB167" s="68"/>
      <c r="EC167" s="21"/>
      <c r="ED167" s="67"/>
      <c r="EE167" s="90"/>
      <c r="EF167" s="94"/>
      <c r="EG167" s="95"/>
      <c r="EH167" s="90"/>
      <c r="EI167" s="21"/>
      <c r="EJ167" s="20"/>
      <c r="EK167" s="96"/>
      <c r="EL167" s="66"/>
      <c r="EM167" s="21"/>
      <c r="EN167" s="22"/>
      <c r="EO167" s="18"/>
      <c r="EP167" s="68"/>
      <c r="EQ167" s="21"/>
      <c r="ER167" s="67"/>
      <c r="ES167" s="90"/>
      <c r="ET167" s="21"/>
      <c r="EU167" s="95"/>
      <c r="EV167" s="90"/>
      <c r="EW167" s="21"/>
      <c r="EX167" s="20"/>
      <c r="EY167" s="96"/>
      <c r="EZ167" s="66"/>
      <c r="FA167" s="21"/>
      <c r="FB167" s="22"/>
      <c r="FC167" s="22"/>
      <c r="FD167" s="97"/>
      <c r="FE167" s="97"/>
      <c r="FF167" s="97"/>
      <c r="FG167" s="20"/>
      <c r="FH167" s="21"/>
      <c r="FI167" s="18"/>
      <c r="FJ167" s="18"/>
      <c r="FK167" s="68"/>
      <c r="FL167" s="21"/>
      <c r="FM167" s="67"/>
      <c r="FN167" s="90"/>
      <c r="FO167" s="94"/>
      <c r="FP167" s="95"/>
      <c r="FQ167" s="90"/>
      <c r="FR167" s="21"/>
      <c r="FS167" s="20"/>
      <c r="FT167" s="96"/>
      <c r="FU167" s="66"/>
      <c r="FV167" s="21"/>
      <c r="FW167" s="22"/>
      <c r="FX167" s="22"/>
      <c r="FY167" s="97"/>
      <c r="FZ167" s="97"/>
      <c r="GA167" s="97"/>
      <c r="GB167" s="20"/>
      <c r="GC167" s="21"/>
      <c r="GD167" s="21"/>
      <c r="GE167" s="18"/>
      <c r="GF167" s="18"/>
      <c r="GG167" s="68"/>
      <c r="GH167" s="21"/>
      <c r="GI167" s="67"/>
      <c r="GJ167" s="90"/>
      <c r="GK167" s="94"/>
      <c r="GL167" s="95"/>
      <c r="GM167" s="90"/>
      <c r="GN167" s="21"/>
      <c r="GO167" s="20"/>
      <c r="GP167" s="96"/>
      <c r="GQ167" s="66"/>
      <c r="GR167" s="21"/>
      <c r="GS167" s="22"/>
      <c r="GT167" s="22"/>
      <c r="GU167" s="97"/>
      <c r="GV167" s="97"/>
      <c r="GW167" s="97"/>
      <c r="GX167" s="20"/>
      <c r="GY167" s="21"/>
      <c r="GZ167" s="21"/>
      <c r="HA167" s="18"/>
      <c r="HB167" s="18"/>
      <c r="HC167" s="68"/>
      <c r="HD167" s="21"/>
      <c r="HE167" s="67"/>
      <c r="HF167" s="90"/>
      <c r="HG167" s="94"/>
      <c r="HH167" s="95"/>
      <c r="HI167" s="90"/>
      <c r="HJ167" s="21"/>
      <c r="HK167" s="20"/>
      <c r="HL167" s="96"/>
      <c r="HM167" s="66"/>
      <c r="HN167" s="21"/>
      <c r="HO167" s="22"/>
      <c r="HP167" s="22"/>
      <c r="HQ167" s="97"/>
      <c r="HR167" s="97"/>
      <c r="HS167" s="97"/>
      <c r="HT167" s="20"/>
      <c r="HU167" s="21"/>
      <c r="HV167" s="21"/>
      <c r="HW167" s="18"/>
      <c r="HX167" s="18"/>
      <c r="HY167" s="68"/>
      <c r="HZ167" s="21"/>
      <c r="IA167" s="67"/>
      <c r="IB167" s="90"/>
      <c r="IC167" s="94"/>
      <c r="ID167" s="95"/>
      <c r="IE167" s="90"/>
      <c r="IF167" s="21"/>
      <c r="IG167" s="20"/>
      <c r="IH167" s="96"/>
      <c r="II167" s="66"/>
      <c r="IJ167" s="21"/>
      <c r="IK167" s="22"/>
      <c r="IL167" s="22"/>
      <c r="IM167" s="97"/>
      <c r="IN167" s="97"/>
      <c r="IO167" s="97"/>
      <c r="IP167" s="20"/>
      <c r="IQ167" s="21"/>
      <c r="IR167" s="21"/>
      <c r="IS167" s="18"/>
      <c r="IT167" s="18"/>
      <c r="IU167" s="68"/>
      <c r="IV167" s="21"/>
      <c r="IW167" s="67"/>
      <c r="IX167" s="90"/>
      <c r="IY167" s="94"/>
      <c r="IZ167" s="95"/>
      <c r="JA167" s="90"/>
      <c r="JB167" s="21"/>
      <c r="JC167" s="20"/>
      <c r="JD167" s="96"/>
      <c r="JE167" s="66"/>
      <c r="JF167" s="21"/>
      <c r="JG167" s="22"/>
      <c r="JH167" s="22"/>
      <c r="JI167" s="97"/>
      <c r="JJ167" s="97"/>
      <c r="JK167" s="97"/>
      <c r="JL167" s="20"/>
      <c r="JM167" s="21"/>
      <c r="JN167" s="21"/>
      <c r="JO167" s="18"/>
      <c r="JP167" s="18"/>
      <c r="JQ167" s="68"/>
      <c r="JR167" s="21"/>
      <c r="JS167" s="67"/>
      <c r="JT167" s="90"/>
      <c r="JU167" s="94"/>
      <c r="JV167" s="95"/>
      <c r="JW167" s="90"/>
      <c r="JX167" s="21"/>
      <c r="JY167" s="20"/>
      <c r="JZ167" s="96"/>
      <c r="KA167" s="66"/>
      <c r="KB167" s="21"/>
      <c r="KC167" s="22"/>
      <c r="KD167" s="22"/>
      <c r="KE167" s="97"/>
      <c r="KF167" s="97"/>
      <c r="KG167" s="97"/>
      <c r="KH167" s="20"/>
      <c r="KI167" s="21"/>
      <c r="KJ167" s="21"/>
      <c r="KK167" s="18"/>
      <c r="KL167" s="18"/>
      <c r="KM167" s="68"/>
      <c r="KN167" s="21"/>
      <c r="KO167" s="67"/>
      <c r="KP167" s="90"/>
      <c r="KQ167" s="94"/>
      <c r="KR167" s="95"/>
      <c r="KS167" s="90"/>
      <c r="KT167" s="21"/>
      <c r="KU167" s="20"/>
      <c r="KV167" s="96"/>
      <c r="KW167" s="66"/>
      <c r="KX167" s="21"/>
      <c r="KY167" s="22"/>
      <c r="KZ167" s="22"/>
      <c r="LA167" s="97"/>
      <c r="LB167" s="97"/>
      <c r="LC167" s="97"/>
      <c r="LD167" s="20"/>
      <c r="LE167" s="21"/>
      <c r="LF167" s="21"/>
      <c r="LG167" s="18"/>
      <c r="LH167" s="18"/>
      <c r="LI167" s="68"/>
      <c r="LJ167" s="21"/>
      <c r="LK167" s="67"/>
      <c r="LL167" s="90"/>
      <c r="LM167" s="94"/>
      <c r="LN167" s="95"/>
      <c r="LO167" s="90"/>
      <c r="LP167" s="21"/>
      <c r="LQ167" s="20"/>
      <c r="LR167" s="96"/>
      <c r="LS167" s="66"/>
      <c r="LT167" s="21"/>
      <c r="LU167" s="22"/>
      <c r="LV167" s="22"/>
      <c r="LW167" s="97"/>
      <c r="LX167" s="97"/>
      <c r="LY167" s="97"/>
      <c r="LZ167" s="20"/>
      <c r="MA167" s="21"/>
      <c r="MB167" s="21"/>
      <c r="MC167" s="18"/>
      <c r="MD167" s="18"/>
      <c r="ME167" s="68"/>
      <c r="MF167" s="21"/>
      <c r="MG167" s="67"/>
      <c r="MH167" s="90"/>
      <c r="MI167" s="94"/>
      <c r="MJ167" s="95"/>
      <c r="MK167" s="90"/>
      <c r="ML167" s="21"/>
      <c r="MM167" s="20"/>
      <c r="MN167" s="96"/>
      <c r="MO167" s="66"/>
      <c r="MP167" s="21"/>
      <c r="MQ167" s="22"/>
      <c r="MR167" s="22"/>
      <c r="MS167" s="97"/>
      <c r="MT167" s="97"/>
      <c r="MU167" s="97"/>
      <c r="MV167" s="20"/>
      <c r="MW167" s="21"/>
      <c r="MX167" s="21"/>
      <c r="MY167" s="18"/>
      <c r="MZ167" s="18"/>
      <c r="NA167" s="68"/>
      <c r="NB167" s="21"/>
      <c r="NC167" s="67"/>
      <c r="ND167" s="90"/>
      <c r="NE167" s="94"/>
      <c r="NF167" s="95"/>
      <c r="NG167" s="90"/>
      <c r="NH167" s="21"/>
      <c r="NI167" s="20"/>
      <c r="NJ167" s="96"/>
      <c r="NK167" s="66"/>
      <c r="NL167" s="21"/>
      <c r="NM167" s="22"/>
      <c r="NN167" s="22"/>
      <c r="NO167" s="97"/>
      <c r="NP167" s="97"/>
      <c r="NQ167" s="97"/>
      <c r="NR167" s="20"/>
      <c r="NS167" s="21"/>
      <c r="NT167" s="21"/>
      <c r="NU167" s="18"/>
      <c r="NV167" s="18"/>
      <c r="NW167" s="68"/>
      <c r="NX167" s="21"/>
      <c r="NY167" s="67"/>
      <c r="NZ167" s="90"/>
      <c r="OA167" s="94"/>
      <c r="OB167" s="95"/>
      <c r="OC167" s="90"/>
      <c r="OD167" s="21"/>
      <c r="OE167" s="20"/>
      <c r="OF167" s="96"/>
      <c r="OG167" s="66"/>
      <c r="OH167" s="21"/>
      <c r="OI167" s="22"/>
      <c r="OJ167" s="22"/>
      <c r="OK167" s="97"/>
      <c r="OL167" s="97"/>
      <c r="OM167" s="97"/>
      <c r="ON167" s="20"/>
      <c r="OO167" s="21"/>
      <c r="OP167" s="21"/>
      <c r="OQ167" s="18"/>
      <c r="OR167" s="18"/>
      <c r="OS167" s="68"/>
      <c r="OT167" s="21"/>
      <c r="OU167" s="67"/>
      <c r="OV167" s="90"/>
      <c r="OW167" s="94"/>
      <c r="OX167" s="95"/>
      <c r="OY167" s="90"/>
      <c r="OZ167" s="21"/>
      <c r="PA167" s="20"/>
      <c r="PB167" s="96"/>
      <c r="PC167" s="66"/>
      <c r="PD167" s="21"/>
      <c r="PE167" s="22"/>
      <c r="PF167" s="22"/>
      <c r="PG167" s="97"/>
      <c r="PH167" s="97"/>
      <c r="PI167" s="97"/>
      <c r="PJ167" s="20"/>
      <c r="PK167" s="21"/>
      <c r="PL167" s="21"/>
      <c r="PM167" s="18"/>
      <c r="PN167" s="18"/>
      <c r="PO167" s="68"/>
      <c r="PP167" s="21"/>
      <c r="PQ167" s="67"/>
      <c r="PR167" s="90"/>
      <c r="PS167" s="94"/>
      <c r="PT167" s="95"/>
      <c r="PU167" s="90"/>
      <c r="PV167" s="21"/>
      <c r="PW167" s="20"/>
      <c r="PX167" s="96"/>
      <c r="PY167" s="66"/>
      <c r="PZ167" s="21"/>
      <c r="QA167" s="22"/>
      <c r="QB167" s="22"/>
      <c r="QC167" s="97"/>
      <c r="QD167" s="97"/>
      <c r="QE167" s="97"/>
      <c r="QF167" s="20"/>
      <c r="QG167" s="21"/>
      <c r="QH167" s="21"/>
      <c r="QI167" s="18"/>
      <c r="QJ167" s="18"/>
      <c r="QK167" s="68"/>
      <c r="QL167" s="21"/>
      <c r="QM167" s="67"/>
      <c r="QN167" s="90"/>
      <c r="QO167" s="94"/>
      <c r="QP167" s="95"/>
      <c r="QQ167" s="90"/>
      <c r="QR167" s="21"/>
      <c r="QS167" s="20"/>
      <c r="QT167" s="96"/>
      <c r="QU167" s="66"/>
      <c r="QV167" s="21"/>
      <c r="QW167" s="22"/>
    </row>
    <row r="168" spans="1:465" ht="15" customHeight="1">
      <c r="A168" s="67">
        <v>163</v>
      </c>
      <c r="B168" s="68">
        <v>46254</v>
      </c>
      <c r="C168" s="67" t="s">
        <v>131</v>
      </c>
      <c r="D168" s="67" t="s">
        <v>106</v>
      </c>
      <c r="E168" s="67"/>
      <c r="F168" s="67" t="s">
        <v>269</v>
      </c>
      <c r="G168" s="67"/>
      <c r="H168" s="67" t="s">
        <v>105</v>
      </c>
      <c r="I168" s="67" t="s">
        <v>106</v>
      </c>
      <c r="J168" s="67"/>
      <c r="K168" s="67"/>
      <c r="L168" s="125" t="s">
        <v>295</v>
      </c>
      <c r="M168" s="67"/>
      <c r="N168" s="67"/>
      <c r="O168" s="67"/>
      <c r="P168" s="67"/>
      <c r="Q168" s="67"/>
      <c r="R168" s="67"/>
      <c r="S168" s="67"/>
      <c r="T168" s="84"/>
      <c r="U168" s="67"/>
      <c r="V168" s="67"/>
      <c r="W168" s="21"/>
      <c r="X168" s="67"/>
      <c r="Y168" s="90"/>
      <c r="Z168" s="94"/>
      <c r="AA168" s="95"/>
      <c r="AB168" s="90"/>
      <c r="AC168" s="21"/>
      <c r="AD168" s="20"/>
      <c r="AE168" s="96"/>
      <c r="AF168" s="66"/>
      <c r="AG168" s="21"/>
      <c r="AH168" s="22"/>
      <c r="AI168" s="22"/>
      <c r="AJ168" s="97"/>
      <c r="AK168" s="97"/>
      <c r="AL168" s="97"/>
      <c r="AM168" s="20"/>
      <c r="AN168" s="21"/>
      <c r="AO168" s="21"/>
      <c r="AP168" s="18"/>
      <c r="AQ168" s="18"/>
      <c r="AR168" s="68"/>
      <c r="AS168" s="21"/>
      <c r="AT168" s="67"/>
      <c r="AU168" s="90"/>
      <c r="AV168" s="94"/>
      <c r="AW168" s="95"/>
      <c r="AX168" s="90"/>
      <c r="AY168" s="21"/>
      <c r="AZ168" s="20"/>
      <c r="BA168" s="96"/>
      <c r="BB168" s="66"/>
      <c r="BC168" s="21"/>
      <c r="BD168" s="22"/>
      <c r="BE168" s="22"/>
      <c r="BF168" s="97"/>
      <c r="BG168" s="97"/>
      <c r="BH168" s="97"/>
      <c r="BI168" s="20"/>
      <c r="BJ168" s="21"/>
      <c r="BK168" s="21"/>
      <c r="BL168" s="18"/>
      <c r="BM168" s="18"/>
      <c r="BN168" s="68"/>
      <c r="BO168" s="21"/>
      <c r="BP168" s="67"/>
      <c r="BQ168" s="90"/>
      <c r="BR168" s="94"/>
      <c r="BS168" s="95"/>
      <c r="BT168" s="90"/>
      <c r="BU168" s="21"/>
      <c r="BV168" s="20"/>
      <c r="BW168" s="96"/>
      <c r="BX168" s="66"/>
      <c r="BY168" s="21"/>
      <c r="BZ168" s="22"/>
      <c r="CA168" s="22"/>
      <c r="CB168" s="97"/>
      <c r="CC168" s="97"/>
      <c r="CD168" s="97"/>
      <c r="CE168" s="20"/>
      <c r="CF168" s="21"/>
      <c r="CG168" s="21"/>
      <c r="CH168" s="18"/>
      <c r="CI168" s="18"/>
      <c r="CJ168" s="68"/>
      <c r="CK168" s="21"/>
      <c r="CL168" s="67"/>
      <c r="CM168" s="90"/>
      <c r="CN168" s="94"/>
      <c r="CO168" s="95"/>
      <c r="CP168" s="90"/>
      <c r="CQ168" s="21"/>
      <c r="CR168" s="20"/>
      <c r="CS168" s="96"/>
      <c r="CT168" s="66"/>
      <c r="CU168" s="21"/>
      <c r="CV168" s="22"/>
      <c r="CW168" s="22"/>
      <c r="CX168" s="97"/>
      <c r="CY168" s="97"/>
      <c r="CZ168" s="97"/>
      <c r="DA168" s="20"/>
      <c r="DB168" s="21"/>
      <c r="DC168" s="21"/>
      <c r="DD168" s="18"/>
      <c r="DE168" s="18"/>
      <c r="DF168" s="68"/>
      <c r="DG168" s="21"/>
      <c r="DH168" s="67"/>
      <c r="DI168" s="90"/>
      <c r="DJ168" s="94"/>
      <c r="DK168" s="95"/>
      <c r="DL168" s="90"/>
      <c r="DM168" s="21"/>
      <c r="DN168" s="20"/>
      <c r="DO168" s="96"/>
      <c r="DP168" s="66"/>
      <c r="DQ168" s="21"/>
      <c r="DR168" s="22"/>
      <c r="DS168" s="22"/>
      <c r="DT168" s="97"/>
      <c r="DU168" s="97"/>
      <c r="DV168" s="97"/>
      <c r="DW168" s="20"/>
      <c r="DX168" s="21"/>
      <c r="DY168" s="21"/>
      <c r="DZ168" s="18"/>
      <c r="EA168" s="18"/>
      <c r="EB168" s="68"/>
      <c r="EC168" s="21"/>
      <c r="ED168" s="67"/>
      <c r="EE168" s="90"/>
      <c r="EF168" s="94"/>
      <c r="EG168" s="95"/>
      <c r="EH168" s="90"/>
      <c r="EI168" s="21"/>
      <c r="EJ168" s="20"/>
      <c r="EK168" s="96"/>
      <c r="EL168" s="66"/>
      <c r="EM168" s="21"/>
      <c r="EN168" s="22"/>
      <c r="EO168" s="18"/>
      <c r="EP168" s="68"/>
      <c r="EQ168" s="21"/>
      <c r="ER168" s="67"/>
      <c r="ES168" s="90"/>
      <c r="ET168" s="21"/>
      <c r="EU168" s="95"/>
      <c r="EV168" s="90"/>
      <c r="EW168" s="21"/>
      <c r="EX168" s="20"/>
      <c r="EY168" s="96"/>
      <c r="EZ168" s="66"/>
      <c r="FA168" s="21"/>
      <c r="FB168" s="22"/>
      <c r="FC168" s="22"/>
      <c r="FD168" s="97"/>
      <c r="FE168" s="97"/>
      <c r="FF168" s="97"/>
      <c r="FG168" s="20"/>
      <c r="FH168" s="21"/>
      <c r="FI168" s="18"/>
      <c r="FJ168" s="18"/>
      <c r="FK168" s="68"/>
      <c r="FL168" s="21"/>
      <c r="FM168" s="67"/>
      <c r="FN168" s="90"/>
      <c r="FO168" s="94"/>
      <c r="FP168" s="95"/>
      <c r="FQ168" s="90"/>
      <c r="FR168" s="21"/>
      <c r="FS168" s="20"/>
      <c r="FT168" s="96"/>
      <c r="FU168" s="66"/>
      <c r="FV168" s="21"/>
      <c r="FW168" s="22"/>
      <c r="FX168" s="22"/>
      <c r="FY168" s="97"/>
      <c r="FZ168" s="97"/>
      <c r="GA168" s="97"/>
      <c r="GB168" s="20"/>
      <c r="GC168" s="21"/>
      <c r="GD168" s="21"/>
      <c r="GE168" s="18"/>
      <c r="GF168" s="18"/>
      <c r="GG168" s="68"/>
      <c r="GH168" s="21"/>
      <c r="GI168" s="67"/>
      <c r="GJ168" s="90"/>
      <c r="GK168" s="94"/>
      <c r="GL168" s="95"/>
      <c r="GM168" s="90"/>
      <c r="GN168" s="21"/>
      <c r="GO168" s="20"/>
      <c r="GP168" s="96"/>
      <c r="GQ168" s="66"/>
      <c r="GR168" s="21"/>
      <c r="GS168" s="22"/>
      <c r="GT168" s="22"/>
      <c r="GU168" s="97"/>
      <c r="GV168" s="97"/>
      <c r="GW168" s="97"/>
      <c r="GX168" s="20"/>
      <c r="GY168" s="21"/>
      <c r="GZ168" s="21"/>
      <c r="HA168" s="18"/>
      <c r="HB168" s="18"/>
      <c r="HC168" s="68"/>
      <c r="HD168" s="21"/>
      <c r="HE168" s="67"/>
      <c r="HF168" s="90"/>
      <c r="HG168" s="94"/>
      <c r="HH168" s="95"/>
      <c r="HI168" s="90"/>
      <c r="HJ168" s="21"/>
      <c r="HK168" s="20"/>
      <c r="HL168" s="96"/>
      <c r="HM168" s="66"/>
      <c r="HN168" s="21"/>
      <c r="HO168" s="22"/>
      <c r="HP168" s="22"/>
      <c r="HQ168" s="97"/>
      <c r="HR168" s="97"/>
      <c r="HS168" s="97"/>
      <c r="HT168" s="20"/>
      <c r="HU168" s="21"/>
      <c r="HV168" s="21"/>
      <c r="HW168" s="18"/>
      <c r="HX168" s="18"/>
      <c r="HY168" s="68"/>
      <c r="HZ168" s="21"/>
      <c r="IA168" s="67"/>
      <c r="IB168" s="90"/>
      <c r="IC168" s="94"/>
      <c r="ID168" s="95"/>
      <c r="IE168" s="90"/>
      <c r="IF168" s="21"/>
      <c r="IG168" s="20"/>
      <c r="IH168" s="96"/>
      <c r="II168" s="66"/>
      <c r="IJ168" s="21"/>
      <c r="IK168" s="22"/>
      <c r="IL168" s="22"/>
      <c r="IM168" s="97"/>
      <c r="IN168" s="97"/>
      <c r="IO168" s="97"/>
      <c r="IP168" s="20"/>
      <c r="IQ168" s="21"/>
      <c r="IR168" s="21"/>
      <c r="IS168" s="18"/>
      <c r="IT168" s="18"/>
      <c r="IU168" s="68"/>
      <c r="IV168" s="21"/>
      <c r="IW168" s="67"/>
      <c r="IX168" s="90"/>
      <c r="IY168" s="94"/>
      <c r="IZ168" s="95"/>
      <c r="JA168" s="90"/>
      <c r="JB168" s="21"/>
      <c r="JC168" s="20"/>
      <c r="JD168" s="96"/>
      <c r="JE168" s="66"/>
      <c r="JF168" s="21"/>
      <c r="JG168" s="22"/>
      <c r="JH168" s="22"/>
      <c r="JI168" s="97"/>
      <c r="JJ168" s="97"/>
      <c r="JK168" s="97"/>
      <c r="JL168" s="20"/>
      <c r="JM168" s="21"/>
      <c r="JN168" s="21"/>
      <c r="JO168" s="18"/>
      <c r="JP168" s="18"/>
      <c r="JQ168" s="68"/>
      <c r="JR168" s="21"/>
      <c r="JS168" s="67"/>
      <c r="JT168" s="90"/>
      <c r="JU168" s="94"/>
      <c r="JV168" s="95"/>
      <c r="JW168" s="90"/>
      <c r="JX168" s="21"/>
      <c r="JY168" s="20"/>
      <c r="JZ168" s="96"/>
      <c r="KA168" s="66"/>
      <c r="KB168" s="21"/>
      <c r="KC168" s="22"/>
      <c r="KD168" s="22"/>
      <c r="KE168" s="97"/>
      <c r="KF168" s="97"/>
      <c r="KG168" s="97"/>
      <c r="KH168" s="20"/>
      <c r="KI168" s="21"/>
      <c r="KJ168" s="21"/>
      <c r="KK168" s="18"/>
      <c r="KL168" s="18"/>
      <c r="KM168" s="68"/>
      <c r="KN168" s="21"/>
      <c r="KO168" s="67"/>
      <c r="KP168" s="90"/>
      <c r="KQ168" s="94"/>
      <c r="KR168" s="95"/>
      <c r="KS168" s="90"/>
      <c r="KT168" s="21"/>
      <c r="KU168" s="20"/>
      <c r="KV168" s="96"/>
      <c r="KW168" s="66"/>
      <c r="KX168" s="21"/>
      <c r="KY168" s="22"/>
      <c r="KZ168" s="22"/>
      <c r="LA168" s="97"/>
      <c r="LB168" s="97"/>
      <c r="LC168" s="97"/>
      <c r="LD168" s="20"/>
      <c r="LE168" s="21"/>
      <c r="LF168" s="21"/>
      <c r="LG168" s="18"/>
      <c r="LH168" s="18"/>
      <c r="LI168" s="68"/>
      <c r="LJ168" s="21"/>
      <c r="LK168" s="67"/>
      <c r="LL168" s="90"/>
      <c r="LM168" s="94"/>
      <c r="LN168" s="95"/>
      <c r="LO168" s="90"/>
      <c r="LP168" s="21"/>
      <c r="LQ168" s="20"/>
      <c r="LR168" s="96"/>
      <c r="LS168" s="66"/>
      <c r="LT168" s="21"/>
      <c r="LU168" s="22"/>
      <c r="LV168" s="22"/>
      <c r="LW168" s="97"/>
      <c r="LX168" s="97"/>
      <c r="LY168" s="97"/>
      <c r="LZ168" s="20"/>
      <c r="MA168" s="21"/>
      <c r="MB168" s="21"/>
      <c r="MC168" s="18"/>
      <c r="MD168" s="18"/>
      <c r="ME168" s="68"/>
      <c r="MF168" s="21"/>
      <c r="MG168" s="67"/>
      <c r="MH168" s="90"/>
      <c r="MI168" s="94"/>
      <c r="MJ168" s="95"/>
      <c r="MK168" s="90"/>
      <c r="ML168" s="21"/>
      <c r="MM168" s="20"/>
      <c r="MN168" s="96"/>
      <c r="MO168" s="66"/>
      <c r="MP168" s="21"/>
      <c r="MQ168" s="22"/>
      <c r="MR168" s="22"/>
      <c r="MS168" s="97"/>
      <c r="MT168" s="97"/>
      <c r="MU168" s="97"/>
      <c r="MV168" s="20"/>
      <c r="MW168" s="21"/>
      <c r="MX168" s="21"/>
      <c r="MY168" s="18"/>
      <c r="MZ168" s="18"/>
      <c r="NA168" s="68"/>
      <c r="NB168" s="21"/>
      <c r="NC168" s="67"/>
      <c r="ND168" s="90"/>
      <c r="NE168" s="94"/>
      <c r="NF168" s="95"/>
      <c r="NG168" s="90"/>
      <c r="NH168" s="21"/>
      <c r="NI168" s="20"/>
      <c r="NJ168" s="96"/>
      <c r="NK168" s="66"/>
      <c r="NL168" s="21"/>
      <c r="NM168" s="22"/>
      <c r="NN168" s="22"/>
      <c r="NO168" s="97"/>
      <c r="NP168" s="97"/>
      <c r="NQ168" s="97"/>
      <c r="NR168" s="20"/>
      <c r="NS168" s="21"/>
      <c r="NT168" s="21"/>
      <c r="NU168" s="18"/>
      <c r="NV168" s="18"/>
      <c r="NW168" s="68"/>
      <c r="NX168" s="21"/>
      <c r="NY168" s="67"/>
      <c r="NZ168" s="90"/>
      <c r="OA168" s="94"/>
      <c r="OB168" s="95"/>
      <c r="OC168" s="90"/>
      <c r="OD168" s="21"/>
      <c r="OE168" s="20"/>
      <c r="OF168" s="96"/>
      <c r="OG168" s="66"/>
      <c r="OH168" s="21"/>
      <c r="OI168" s="22"/>
      <c r="OJ168" s="22"/>
      <c r="OK168" s="97"/>
      <c r="OL168" s="97"/>
      <c r="OM168" s="97"/>
      <c r="ON168" s="20"/>
      <c r="OO168" s="21"/>
      <c r="OP168" s="21"/>
      <c r="OQ168" s="18"/>
      <c r="OR168" s="18"/>
      <c r="OS168" s="68"/>
      <c r="OT168" s="21"/>
      <c r="OU168" s="67"/>
      <c r="OV168" s="90"/>
      <c r="OW168" s="94"/>
      <c r="OX168" s="95"/>
      <c r="OY168" s="90"/>
      <c r="OZ168" s="21"/>
      <c r="PA168" s="20"/>
      <c r="PB168" s="96"/>
      <c r="PC168" s="66"/>
      <c r="PD168" s="21"/>
      <c r="PE168" s="22"/>
      <c r="PF168" s="22"/>
      <c r="PG168" s="97"/>
      <c r="PH168" s="97"/>
      <c r="PI168" s="97"/>
      <c r="PJ168" s="20"/>
      <c r="PK168" s="21"/>
      <c r="PL168" s="21"/>
      <c r="PM168" s="18"/>
      <c r="PN168" s="18"/>
      <c r="PO168" s="68"/>
      <c r="PP168" s="21"/>
      <c r="PQ168" s="67"/>
      <c r="PR168" s="90"/>
      <c r="PS168" s="94"/>
      <c r="PT168" s="95"/>
      <c r="PU168" s="90"/>
      <c r="PV168" s="21"/>
      <c r="PW168" s="20"/>
      <c r="PX168" s="96"/>
      <c r="PY168" s="66"/>
      <c r="PZ168" s="21"/>
      <c r="QA168" s="22"/>
      <c r="QB168" s="22"/>
      <c r="QC168" s="97"/>
      <c r="QD168" s="97"/>
      <c r="QE168" s="97"/>
      <c r="QF168" s="20"/>
      <c r="QG168" s="21"/>
      <c r="QH168" s="21"/>
      <c r="QI168" s="18"/>
      <c r="QJ168" s="18"/>
      <c r="QK168" s="68"/>
      <c r="QL168" s="21"/>
      <c r="QM168" s="67"/>
      <c r="QN168" s="90"/>
      <c r="QO168" s="94"/>
      <c r="QP168" s="95"/>
      <c r="QQ168" s="90"/>
      <c r="QR168" s="21"/>
      <c r="QS168" s="20"/>
      <c r="QT168" s="96"/>
      <c r="QU168" s="66"/>
      <c r="QV168" s="21"/>
      <c r="QW168" s="22"/>
    </row>
    <row r="169" spans="1:465" ht="15" customHeight="1">
      <c r="A169" s="67">
        <v>164</v>
      </c>
      <c r="B169" s="68">
        <v>46254</v>
      </c>
      <c r="C169" s="67" t="s">
        <v>131</v>
      </c>
      <c r="D169" s="67" t="s">
        <v>106</v>
      </c>
      <c r="E169" s="67"/>
      <c r="F169" s="67" t="s">
        <v>269</v>
      </c>
      <c r="G169" s="67"/>
      <c r="H169" s="67" t="s">
        <v>105</v>
      </c>
      <c r="I169" s="67" t="s">
        <v>106</v>
      </c>
      <c r="J169" s="67"/>
      <c r="K169" s="67"/>
      <c r="L169" s="125" t="s">
        <v>296</v>
      </c>
      <c r="M169" s="67"/>
      <c r="N169" s="67" t="b">
        <v>0</v>
      </c>
      <c r="O169" s="67" t="b">
        <v>0</v>
      </c>
      <c r="P169" s="67"/>
      <c r="Q169" s="67"/>
      <c r="R169" s="67"/>
      <c r="S169" s="67"/>
      <c r="T169" s="84"/>
      <c r="U169" s="67"/>
      <c r="V169" s="67"/>
      <c r="W169" s="21"/>
      <c r="X169" s="67"/>
      <c r="Y169" s="90"/>
      <c r="Z169" s="94"/>
      <c r="AA169" s="95"/>
      <c r="AB169" s="90"/>
      <c r="AC169" s="21"/>
      <c r="AD169" s="20"/>
      <c r="AE169" s="96"/>
      <c r="AF169" s="66"/>
      <c r="AG169" s="21"/>
      <c r="AH169" s="22" t="b">
        <v>0</v>
      </c>
      <c r="AI169" s="22" t="b">
        <v>0</v>
      </c>
      <c r="AJ169" s="97"/>
      <c r="AK169" s="97"/>
      <c r="AL169" s="97"/>
      <c r="AM169" s="20"/>
      <c r="AN169" s="21"/>
      <c r="AO169" s="21"/>
      <c r="AP169" s="18"/>
      <c r="AQ169" s="18"/>
      <c r="AR169" s="68"/>
      <c r="AS169" s="21"/>
      <c r="AT169" s="67"/>
      <c r="AU169" s="90"/>
      <c r="AV169" s="94"/>
      <c r="AW169" s="95"/>
      <c r="AX169" s="90"/>
      <c r="AY169" s="21"/>
      <c r="AZ169" s="20"/>
      <c r="BA169" s="96"/>
      <c r="BB169" s="66"/>
      <c r="BC169" s="21"/>
      <c r="BD169" s="22" t="b">
        <v>0</v>
      </c>
      <c r="BE169" s="22" t="b">
        <v>0</v>
      </c>
      <c r="BF169" s="97"/>
      <c r="BG169" s="97"/>
      <c r="BH169" s="97"/>
      <c r="BI169" s="20"/>
      <c r="BJ169" s="21"/>
      <c r="BK169" s="21"/>
      <c r="BL169" s="18"/>
      <c r="BM169" s="18"/>
      <c r="BN169" s="68"/>
      <c r="BO169" s="21"/>
      <c r="BP169" s="67"/>
      <c r="BQ169" s="90"/>
      <c r="BR169" s="94"/>
      <c r="BS169" s="95"/>
      <c r="BT169" s="90"/>
      <c r="BU169" s="21"/>
      <c r="BV169" s="20"/>
      <c r="BW169" s="96"/>
      <c r="BX169" s="66"/>
      <c r="BY169" s="21"/>
      <c r="BZ169" s="22" t="b">
        <v>0</v>
      </c>
      <c r="CA169" s="22" t="b">
        <v>0</v>
      </c>
      <c r="CB169" s="97"/>
      <c r="CC169" s="97"/>
      <c r="CD169" s="97"/>
      <c r="CE169" s="20"/>
      <c r="CF169" s="21"/>
      <c r="CG169" s="21"/>
      <c r="CH169" s="18"/>
      <c r="CI169" s="18"/>
      <c r="CJ169" s="68"/>
      <c r="CK169" s="21"/>
      <c r="CL169" s="67"/>
      <c r="CM169" s="90"/>
      <c r="CN169" s="94"/>
      <c r="CO169" s="95"/>
      <c r="CP169" s="90"/>
      <c r="CQ169" s="21"/>
      <c r="CR169" s="20"/>
      <c r="CS169" s="96"/>
      <c r="CT169" s="66"/>
      <c r="CU169" s="21"/>
      <c r="CV169" s="22" t="b">
        <v>0</v>
      </c>
      <c r="CW169" s="22" t="b">
        <v>0</v>
      </c>
      <c r="CX169" s="97"/>
      <c r="CY169" s="97"/>
      <c r="CZ169" s="97"/>
      <c r="DA169" s="20"/>
      <c r="DB169" s="21"/>
      <c r="DC169" s="21"/>
      <c r="DD169" s="18"/>
      <c r="DE169" s="18"/>
      <c r="DF169" s="68"/>
      <c r="DG169" s="21"/>
      <c r="DH169" s="67"/>
      <c r="DI169" s="90"/>
      <c r="DJ169" s="94"/>
      <c r="DK169" s="95"/>
      <c r="DL169" s="90"/>
      <c r="DM169" s="21"/>
      <c r="DN169" s="20"/>
      <c r="DO169" s="96"/>
      <c r="DP169" s="66"/>
      <c r="DQ169" s="21"/>
      <c r="DR169" s="22" t="b">
        <v>0</v>
      </c>
      <c r="DS169" s="22" t="b">
        <v>0</v>
      </c>
      <c r="DT169" s="97"/>
      <c r="DU169" s="97"/>
      <c r="DV169" s="97"/>
      <c r="DW169" s="20"/>
      <c r="DX169" s="21"/>
      <c r="DY169" s="21"/>
      <c r="DZ169" s="18"/>
      <c r="EA169" s="18"/>
      <c r="EB169" s="68"/>
      <c r="EC169" s="21"/>
      <c r="ED169" s="67"/>
      <c r="EE169" s="90"/>
      <c r="EF169" s="94"/>
      <c r="EG169" s="95"/>
      <c r="EH169" s="90"/>
      <c r="EI169" s="21"/>
      <c r="EJ169" s="20"/>
      <c r="EK169" s="96"/>
      <c r="EL169" s="66"/>
      <c r="EM169" s="21"/>
      <c r="EN169" s="22" t="b">
        <v>0</v>
      </c>
      <c r="EO169" s="18"/>
      <c r="EP169" s="68"/>
      <c r="EQ169" s="21"/>
      <c r="ER169" s="67"/>
      <c r="ES169" s="90"/>
      <c r="ET169" s="21"/>
      <c r="EU169" s="95"/>
      <c r="EV169" s="90"/>
      <c r="EW169" s="21"/>
      <c r="EX169" s="20"/>
      <c r="EY169" s="96"/>
      <c r="EZ169" s="66"/>
      <c r="FA169" s="21"/>
      <c r="FB169" s="22" t="b">
        <v>0</v>
      </c>
      <c r="FC169" s="22" t="b">
        <v>0</v>
      </c>
      <c r="FD169" s="97"/>
      <c r="FE169" s="97"/>
      <c r="FF169" s="97"/>
      <c r="FG169" s="20"/>
      <c r="FH169" s="21"/>
      <c r="FI169" s="18"/>
      <c r="FJ169" s="18"/>
      <c r="FK169" s="68"/>
      <c r="FL169" s="21"/>
      <c r="FM169" s="67"/>
      <c r="FN169" s="90"/>
      <c r="FO169" s="94"/>
      <c r="FP169" s="95"/>
      <c r="FQ169" s="90"/>
      <c r="FR169" s="21"/>
      <c r="FS169" s="20"/>
      <c r="FT169" s="96"/>
      <c r="FU169" s="66"/>
      <c r="FV169" s="21"/>
      <c r="FW169" s="22" t="b">
        <v>0</v>
      </c>
      <c r="FX169" s="22" t="b">
        <v>0</v>
      </c>
      <c r="FY169" s="97"/>
      <c r="FZ169" s="97"/>
      <c r="GA169" s="97"/>
      <c r="GB169" s="20"/>
      <c r="GC169" s="21"/>
      <c r="GD169" s="21"/>
      <c r="GE169" s="18"/>
      <c r="GF169" s="18"/>
      <c r="GG169" s="68"/>
      <c r="GH169" s="21"/>
      <c r="GI169" s="67"/>
      <c r="GJ169" s="90"/>
      <c r="GK169" s="94"/>
      <c r="GL169" s="95"/>
      <c r="GM169" s="90"/>
      <c r="GN169" s="21"/>
      <c r="GO169" s="20"/>
      <c r="GP169" s="96"/>
      <c r="GQ169" s="66"/>
      <c r="GR169" s="21"/>
      <c r="GS169" s="22" t="b">
        <v>0</v>
      </c>
      <c r="GT169" s="22" t="b">
        <v>0</v>
      </c>
      <c r="GU169" s="97"/>
      <c r="GV169" s="97"/>
      <c r="GW169" s="97"/>
      <c r="GX169" s="20"/>
      <c r="GY169" s="21"/>
      <c r="GZ169" s="21"/>
      <c r="HA169" s="18"/>
      <c r="HB169" s="18"/>
      <c r="HC169" s="68"/>
      <c r="HD169" s="21"/>
      <c r="HE169" s="67"/>
      <c r="HF169" s="90"/>
      <c r="HG169" s="94"/>
      <c r="HH169" s="95"/>
      <c r="HI169" s="90"/>
      <c r="HJ169" s="21"/>
      <c r="HK169" s="20"/>
      <c r="HL169" s="96"/>
      <c r="HM169" s="66"/>
      <c r="HN169" s="21"/>
      <c r="HO169" s="22" t="b">
        <v>0</v>
      </c>
      <c r="HP169" s="22" t="b">
        <v>0</v>
      </c>
      <c r="HQ169" s="97"/>
      <c r="HR169" s="97"/>
      <c r="HS169" s="97"/>
      <c r="HT169" s="20"/>
      <c r="HU169" s="21"/>
      <c r="HV169" s="21"/>
      <c r="HW169" s="18"/>
      <c r="HX169" s="18"/>
      <c r="HY169" s="68"/>
      <c r="HZ169" s="21"/>
      <c r="IA169" s="67"/>
      <c r="IB169" s="90"/>
      <c r="IC169" s="94"/>
      <c r="ID169" s="95"/>
      <c r="IE169" s="90"/>
      <c r="IF169" s="21"/>
      <c r="IG169" s="20"/>
      <c r="IH169" s="96"/>
      <c r="II169" s="66"/>
      <c r="IJ169" s="21"/>
      <c r="IK169" s="22" t="b">
        <v>0</v>
      </c>
      <c r="IL169" s="22" t="b">
        <v>0</v>
      </c>
      <c r="IM169" s="97"/>
      <c r="IN169" s="97"/>
      <c r="IO169" s="97"/>
      <c r="IP169" s="20"/>
      <c r="IQ169" s="21"/>
      <c r="IR169" s="21"/>
      <c r="IS169" s="18"/>
      <c r="IT169" s="18"/>
      <c r="IU169" s="68"/>
      <c r="IV169" s="21"/>
      <c r="IW169" s="67"/>
      <c r="IX169" s="90"/>
      <c r="IY169" s="94"/>
      <c r="IZ169" s="95"/>
      <c r="JA169" s="90"/>
      <c r="JB169" s="21"/>
      <c r="JC169" s="20"/>
      <c r="JD169" s="96"/>
      <c r="JE169" s="66"/>
      <c r="JF169" s="21"/>
      <c r="JG169" s="22" t="b">
        <v>0</v>
      </c>
      <c r="JH169" s="22" t="b">
        <v>0</v>
      </c>
      <c r="JI169" s="97"/>
      <c r="JJ169" s="97"/>
      <c r="JK169" s="97"/>
      <c r="JL169" s="20"/>
      <c r="JM169" s="21"/>
      <c r="JN169" s="21"/>
      <c r="JO169" s="18"/>
      <c r="JP169" s="18"/>
      <c r="JQ169" s="68"/>
      <c r="JR169" s="21"/>
      <c r="JS169" s="67"/>
      <c r="JT169" s="90"/>
      <c r="JU169" s="94"/>
      <c r="JV169" s="95"/>
      <c r="JW169" s="90"/>
      <c r="JX169" s="21"/>
      <c r="JY169" s="20"/>
      <c r="JZ169" s="96"/>
      <c r="KA169" s="66"/>
      <c r="KB169" s="21"/>
      <c r="KC169" s="22" t="b">
        <v>0</v>
      </c>
      <c r="KD169" s="22" t="b">
        <v>0</v>
      </c>
      <c r="KE169" s="97"/>
      <c r="KF169" s="97"/>
      <c r="KG169" s="97"/>
      <c r="KH169" s="20"/>
      <c r="KI169" s="21"/>
      <c r="KJ169" s="21"/>
      <c r="KK169" s="18"/>
      <c r="KL169" s="18"/>
      <c r="KM169" s="68"/>
      <c r="KN169" s="21"/>
      <c r="KO169" s="67"/>
      <c r="KP169" s="90"/>
      <c r="KQ169" s="94"/>
      <c r="KR169" s="95"/>
      <c r="KS169" s="90"/>
      <c r="KT169" s="21"/>
      <c r="KU169" s="20"/>
      <c r="KV169" s="96"/>
      <c r="KW169" s="66"/>
      <c r="KX169" s="21"/>
      <c r="KY169" s="22" t="b">
        <v>0</v>
      </c>
      <c r="KZ169" s="22" t="b">
        <v>0</v>
      </c>
      <c r="LA169" s="97"/>
      <c r="LB169" s="97"/>
      <c r="LC169" s="97"/>
      <c r="LD169" s="20"/>
      <c r="LE169" s="21"/>
      <c r="LF169" s="21"/>
      <c r="LG169" s="18"/>
      <c r="LH169" s="18"/>
      <c r="LI169" s="68"/>
      <c r="LJ169" s="21"/>
      <c r="LK169" s="67"/>
      <c r="LL169" s="90"/>
      <c r="LM169" s="94"/>
      <c r="LN169" s="95"/>
      <c r="LO169" s="90"/>
      <c r="LP169" s="21"/>
      <c r="LQ169" s="20"/>
      <c r="LR169" s="96"/>
      <c r="LS169" s="66"/>
      <c r="LT169" s="21"/>
      <c r="LU169" s="22" t="b">
        <v>0</v>
      </c>
      <c r="LV169" s="22" t="b">
        <v>0</v>
      </c>
      <c r="LW169" s="97"/>
      <c r="LX169" s="97"/>
      <c r="LY169" s="97"/>
      <c r="LZ169" s="20"/>
      <c r="MA169" s="21"/>
      <c r="MB169" s="21"/>
      <c r="MC169" s="18"/>
      <c r="MD169" s="18"/>
      <c r="ME169" s="68"/>
      <c r="MF169" s="21"/>
      <c r="MG169" s="67"/>
      <c r="MH169" s="90"/>
      <c r="MI169" s="94"/>
      <c r="MJ169" s="95"/>
      <c r="MK169" s="90"/>
      <c r="ML169" s="21"/>
      <c r="MM169" s="20"/>
      <c r="MN169" s="96"/>
      <c r="MO169" s="66"/>
      <c r="MP169" s="21"/>
      <c r="MQ169" s="22" t="b">
        <v>0</v>
      </c>
      <c r="MR169" s="22" t="b">
        <v>0</v>
      </c>
      <c r="MS169" s="97"/>
      <c r="MT169" s="97"/>
      <c r="MU169" s="97"/>
      <c r="MV169" s="20"/>
      <c r="MW169" s="21"/>
      <c r="MX169" s="21"/>
      <c r="MY169" s="18"/>
      <c r="MZ169" s="18"/>
      <c r="NA169" s="68"/>
      <c r="NB169" s="21"/>
      <c r="NC169" s="67"/>
      <c r="ND169" s="90"/>
      <c r="NE169" s="94"/>
      <c r="NF169" s="95"/>
      <c r="NG169" s="90"/>
      <c r="NH169" s="21"/>
      <c r="NI169" s="20"/>
      <c r="NJ169" s="96"/>
      <c r="NK169" s="66"/>
      <c r="NL169" s="21"/>
      <c r="NM169" s="22" t="b">
        <v>0</v>
      </c>
      <c r="NN169" s="22" t="b">
        <v>0</v>
      </c>
      <c r="NO169" s="97"/>
      <c r="NP169" s="97"/>
      <c r="NQ169" s="97"/>
      <c r="NR169" s="20"/>
      <c r="NS169" s="21"/>
      <c r="NT169" s="21"/>
      <c r="NU169" s="18"/>
      <c r="NV169" s="18"/>
      <c r="NW169" s="68"/>
      <c r="NX169" s="21"/>
      <c r="NY169" s="67"/>
      <c r="NZ169" s="90"/>
      <c r="OA169" s="94"/>
      <c r="OB169" s="95"/>
      <c r="OC169" s="90"/>
      <c r="OD169" s="21"/>
      <c r="OE169" s="20"/>
      <c r="OF169" s="96"/>
      <c r="OG169" s="66"/>
      <c r="OH169" s="21"/>
      <c r="OI169" s="22" t="b">
        <v>0</v>
      </c>
      <c r="OJ169" s="22" t="b">
        <v>0</v>
      </c>
      <c r="OK169" s="97"/>
      <c r="OL169" s="97"/>
      <c r="OM169" s="97"/>
      <c r="ON169" s="20"/>
      <c r="OO169" s="21"/>
      <c r="OP169" s="21"/>
      <c r="OQ169" s="18"/>
      <c r="OR169" s="18"/>
      <c r="OS169" s="68"/>
      <c r="OT169" s="21"/>
      <c r="OU169" s="67"/>
      <c r="OV169" s="90"/>
      <c r="OW169" s="94"/>
      <c r="OX169" s="95"/>
      <c r="OY169" s="90"/>
      <c r="OZ169" s="21"/>
      <c r="PA169" s="20"/>
      <c r="PB169" s="96"/>
      <c r="PC169" s="66"/>
      <c r="PD169" s="21"/>
      <c r="PE169" s="22" t="b">
        <v>0</v>
      </c>
      <c r="PF169" s="22" t="b">
        <v>0</v>
      </c>
      <c r="PG169" s="97"/>
      <c r="PH169" s="97"/>
      <c r="PI169" s="97"/>
      <c r="PJ169" s="20"/>
      <c r="PK169" s="21"/>
      <c r="PL169" s="21"/>
      <c r="PM169" s="18"/>
      <c r="PN169" s="18"/>
      <c r="PO169" s="68"/>
      <c r="PP169" s="21"/>
      <c r="PQ169" s="67"/>
      <c r="PR169" s="90"/>
      <c r="PS169" s="94"/>
      <c r="PT169" s="95"/>
      <c r="PU169" s="90"/>
      <c r="PV169" s="21"/>
      <c r="PW169" s="20"/>
      <c r="PX169" s="96"/>
      <c r="PY169" s="66"/>
      <c r="PZ169" s="21"/>
      <c r="QA169" s="22" t="b">
        <v>0</v>
      </c>
      <c r="QB169" s="22" t="b">
        <v>0</v>
      </c>
      <c r="QC169" s="97"/>
      <c r="QD169" s="97"/>
      <c r="QE169" s="97"/>
      <c r="QF169" s="20"/>
      <c r="QG169" s="21"/>
      <c r="QH169" s="21"/>
      <c r="QI169" s="18"/>
      <c r="QJ169" s="18"/>
      <c r="QK169" s="68"/>
      <c r="QL169" s="21"/>
      <c r="QM169" s="67"/>
      <c r="QN169" s="90"/>
      <c r="QO169" s="94"/>
      <c r="QP169" s="95"/>
      <c r="QQ169" s="90"/>
      <c r="QR169" s="21"/>
      <c r="QS169" s="20"/>
      <c r="QT169" s="96"/>
      <c r="QU169" s="66"/>
      <c r="QV169" s="21"/>
      <c r="QW169" s="22" t="b">
        <v>0</v>
      </c>
    </row>
    <row r="170" spans="1:465" ht="15" customHeight="1">
      <c r="A170" s="67">
        <v>165</v>
      </c>
      <c r="B170" s="68">
        <v>46254</v>
      </c>
      <c r="C170" s="67" t="s">
        <v>131</v>
      </c>
      <c r="D170" s="67" t="s">
        <v>106</v>
      </c>
      <c r="E170" s="67"/>
      <c r="F170" s="67" t="s">
        <v>269</v>
      </c>
      <c r="G170" s="67"/>
      <c r="H170" s="67" t="s">
        <v>105</v>
      </c>
      <c r="I170" s="67" t="s">
        <v>106</v>
      </c>
      <c r="J170" s="67"/>
      <c r="K170" s="67"/>
      <c r="L170" s="125" t="s">
        <v>297</v>
      </c>
      <c r="M170" s="67"/>
      <c r="N170" s="67"/>
      <c r="O170" s="67"/>
      <c r="P170" s="67"/>
      <c r="Q170" s="67"/>
      <c r="R170" s="67"/>
      <c r="S170" s="67"/>
      <c r="T170" s="84"/>
      <c r="U170" s="67"/>
      <c r="V170" s="67"/>
      <c r="W170" s="21"/>
      <c r="X170" s="67"/>
      <c r="Y170" s="90"/>
      <c r="Z170" s="94"/>
      <c r="AA170" s="95"/>
      <c r="AB170" s="90"/>
      <c r="AC170" s="21"/>
      <c r="AD170" s="20"/>
      <c r="AE170" s="96"/>
      <c r="AF170" s="66"/>
      <c r="AG170" s="21"/>
      <c r="AH170" s="22"/>
      <c r="AI170" s="22"/>
      <c r="AJ170" s="97"/>
      <c r="AK170" s="97"/>
      <c r="AL170" s="97"/>
      <c r="AM170" s="20"/>
      <c r="AN170" s="21"/>
      <c r="AO170" s="21"/>
      <c r="AP170" s="18"/>
      <c r="AQ170" s="18"/>
      <c r="AR170" s="68"/>
      <c r="AS170" s="21"/>
      <c r="AT170" s="67"/>
      <c r="AU170" s="90"/>
      <c r="AV170" s="94"/>
      <c r="AW170" s="95"/>
      <c r="AX170" s="90"/>
      <c r="AY170" s="21"/>
      <c r="AZ170" s="20"/>
      <c r="BA170" s="96"/>
      <c r="BB170" s="66"/>
      <c r="BC170" s="21"/>
      <c r="BD170" s="22"/>
      <c r="BE170" s="22"/>
      <c r="BF170" s="97"/>
      <c r="BG170" s="97"/>
      <c r="BH170" s="97"/>
      <c r="BI170" s="20"/>
      <c r="BJ170" s="21"/>
      <c r="BK170" s="21"/>
      <c r="BL170" s="18"/>
      <c r="BM170" s="18"/>
      <c r="BN170" s="68"/>
      <c r="BO170" s="21"/>
      <c r="BP170" s="67"/>
      <c r="BQ170" s="90"/>
      <c r="BR170" s="94"/>
      <c r="BS170" s="95"/>
      <c r="BT170" s="90"/>
      <c r="BU170" s="21"/>
      <c r="BV170" s="20"/>
      <c r="BW170" s="96"/>
      <c r="BX170" s="66"/>
      <c r="BY170" s="21"/>
      <c r="BZ170" s="22"/>
      <c r="CA170" s="22"/>
      <c r="CB170" s="97"/>
      <c r="CC170" s="97"/>
      <c r="CD170" s="97"/>
      <c r="CE170" s="20"/>
      <c r="CF170" s="21"/>
      <c r="CG170" s="21"/>
      <c r="CH170" s="18"/>
      <c r="CI170" s="18"/>
      <c r="CJ170" s="68"/>
      <c r="CK170" s="21"/>
      <c r="CL170" s="67"/>
      <c r="CM170" s="90"/>
      <c r="CN170" s="94"/>
      <c r="CO170" s="95"/>
      <c r="CP170" s="90"/>
      <c r="CQ170" s="21"/>
      <c r="CR170" s="20"/>
      <c r="CS170" s="96"/>
      <c r="CT170" s="66"/>
      <c r="CU170" s="21"/>
      <c r="CV170" s="22"/>
      <c r="CW170" s="22"/>
      <c r="CX170" s="97"/>
      <c r="CY170" s="97"/>
      <c r="CZ170" s="97"/>
      <c r="DA170" s="20"/>
      <c r="DB170" s="21"/>
      <c r="DC170" s="21"/>
      <c r="DD170" s="18"/>
      <c r="DE170" s="18"/>
      <c r="DF170" s="68"/>
      <c r="DG170" s="21"/>
      <c r="DH170" s="67"/>
      <c r="DI170" s="90"/>
      <c r="DJ170" s="94"/>
      <c r="DK170" s="95"/>
      <c r="DL170" s="90"/>
      <c r="DM170" s="21"/>
      <c r="DN170" s="20"/>
      <c r="DO170" s="96"/>
      <c r="DP170" s="66"/>
      <c r="DQ170" s="21"/>
      <c r="DR170" s="22"/>
      <c r="DS170" s="22"/>
      <c r="DT170" s="97"/>
      <c r="DU170" s="97"/>
      <c r="DV170" s="97"/>
      <c r="DW170" s="20"/>
      <c r="DX170" s="21"/>
      <c r="DY170" s="21"/>
      <c r="DZ170" s="18"/>
      <c r="EA170" s="18"/>
      <c r="EB170" s="68"/>
      <c r="EC170" s="21"/>
      <c r="ED170" s="67"/>
      <c r="EE170" s="90"/>
      <c r="EF170" s="94"/>
      <c r="EG170" s="95"/>
      <c r="EH170" s="90"/>
      <c r="EI170" s="21"/>
      <c r="EJ170" s="20"/>
      <c r="EK170" s="96"/>
      <c r="EL170" s="66"/>
      <c r="EM170" s="21"/>
      <c r="EN170" s="22"/>
      <c r="EO170" s="18"/>
      <c r="EP170" s="68"/>
      <c r="EQ170" s="21"/>
      <c r="ER170" s="67"/>
      <c r="ES170" s="90"/>
      <c r="ET170" s="21"/>
      <c r="EU170" s="95"/>
      <c r="EV170" s="90"/>
      <c r="EW170" s="21"/>
      <c r="EX170" s="20"/>
      <c r="EY170" s="96"/>
      <c r="EZ170" s="66"/>
      <c r="FA170" s="21"/>
      <c r="FB170" s="22"/>
      <c r="FC170" s="22"/>
      <c r="FD170" s="97"/>
      <c r="FE170" s="97"/>
      <c r="FF170" s="97"/>
      <c r="FG170" s="20"/>
      <c r="FH170" s="21"/>
      <c r="FI170" s="18"/>
      <c r="FJ170" s="18"/>
      <c r="FK170" s="68"/>
      <c r="FL170" s="21"/>
      <c r="FM170" s="67"/>
      <c r="FN170" s="90"/>
      <c r="FO170" s="94"/>
      <c r="FP170" s="95"/>
      <c r="FQ170" s="90"/>
      <c r="FR170" s="21"/>
      <c r="FS170" s="20"/>
      <c r="FT170" s="96"/>
      <c r="FU170" s="66"/>
      <c r="FV170" s="21"/>
      <c r="FW170" s="22"/>
      <c r="FX170" s="22"/>
      <c r="FY170" s="97"/>
      <c r="FZ170" s="97"/>
      <c r="GA170" s="97"/>
      <c r="GB170" s="20"/>
      <c r="GC170" s="21"/>
      <c r="GD170" s="21"/>
      <c r="GE170" s="18"/>
      <c r="GF170" s="18"/>
      <c r="GG170" s="68"/>
      <c r="GH170" s="21"/>
      <c r="GI170" s="67"/>
      <c r="GJ170" s="90"/>
      <c r="GK170" s="94"/>
      <c r="GL170" s="95"/>
      <c r="GM170" s="90"/>
      <c r="GN170" s="21"/>
      <c r="GO170" s="20"/>
      <c r="GP170" s="96"/>
      <c r="GQ170" s="66"/>
      <c r="GR170" s="21"/>
      <c r="GS170" s="22"/>
      <c r="GT170" s="22"/>
      <c r="GU170" s="97"/>
      <c r="GV170" s="97"/>
      <c r="GW170" s="97"/>
      <c r="GX170" s="20"/>
      <c r="GY170" s="21"/>
      <c r="GZ170" s="21"/>
      <c r="HA170" s="18"/>
      <c r="HB170" s="18"/>
      <c r="HC170" s="68"/>
      <c r="HD170" s="21"/>
      <c r="HE170" s="67"/>
      <c r="HF170" s="90"/>
      <c r="HG170" s="94"/>
      <c r="HH170" s="95"/>
      <c r="HI170" s="90"/>
      <c r="HJ170" s="21"/>
      <c r="HK170" s="20"/>
      <c r="HL170" s="96"/>
      <c r="HM170" s="66"/>
      <c r="HN170" s="21"/>
      <c r="HO170" s="22"/>
      <c r="HP170" s="22"/>
      <c r="HQ170" s="97"/>
      <c r="HR170" s="97"/>
      <c r="HS170" s="97"/>
      <c r="HT170" s="20"/>
      <c r="HU170" s="21"/>
      <c r="HV170" s="21"/>
      <c r="HW170" s="18"/>
      <c r="HX170" s="18"/>
      <c r="HY170" s="68"/>
      <c r="HZ170" s="21"/>
      <c r="IA170" s="67"/>
      <c r="IB170" s="90"/>
      <c r="IC170" s="94"/>
      <c r="ID170" s="95"/>
      <c r="IE170" s="90"/>
      <c r="IF170" s="21"/>
      <c r="IG170" s="20"/>
      <c r="IH170" s="96"/>
      <c r="II170" s="66"/>
      <c r="IJ170" s="21"/>
      <c r="IK170" s="22"/>
      <c r="IL170" s="22"/>
      <c r="IM170" s="97"/>
      <c r="IN170" s="97"/>
      <c r="IO170" s="97"/>
      <c r="IP170" s="20"/>
      <c r="IQ170" s="21"/>
      <c r="IR170" s="21"/>
      <c r="IS170" s="18"/>
      <c r="IT170" s="18"/>
      <c r="IU170" s="68"/>
      <c r="IV170" s="21"/>
      <c r="IW170" s="67"/>
      <c r="IX170" s="90"/>
      <c r="IY170" s="94"/>
      <c r="IZ170" s="95"/>
      <c r="JA170" s="90"/>
      <c r="JB170" s="21"/>
      <c r="JC170" s="20"/>
      <c r="JD170" s="96"/>
      <c r="JE170" s="66"/>
      <c r="JF170" s="21"/>
      <c r="JG170" s="22"/>
      <c r="JH170" s="22"/>
      <c r="JI170" s="97"/>
      <c r="JJ170" s="97"/>
      <c r="JK170" s="97"/>
      <c r="JL170" s="20"/>
      <c r="JM170" s="21"/>
      <c r="JN170" s="21"/>
      <c r="JO170" s="18"/>
      <c r="JP170" s="18"/>
      <c r="JQ170" s="68"/>
      <c r="JR170" s="21"/>
      <c r="JS170" s="67"/>
      <c r="JT170" s="90"/>
      <c r="JU170" s="94"/>
      <c r="JV170" s="95"/>
      <c r="JW170" s="90"/>
      <c r="JX170" s="21"/>
      <c r="JY170" s="20"/>
      <c r="JZ170" s="96"/>
      <c r="KA170" s="66"/>
      <c r="KB170" s="21"/>
      <c r="KC170" s="22"/>
      <c r="KD170" s="22"/>
      <c r="KE170" s="97"/>
      <c r="KF170" s="97"/>
      <c r="KG170" s="97"/>
      <c r="KH170" s="20"/>
      <c r="KI170" s="21"/>
      <c r="KJ170" s="21"/>
      <c r="KK170" s="18"/>
      <c r="KL170" s="18"/>
      <c r="KM170" s="68"/>
      <c r="KN170" s="21"/>
      <c r="KO170" s="67"/>
      <c r="KP170" s="90"/>
      <c r="KQ170" s="94"/>
      <c r="KR170" s="95"/>
      <c r="KS170" s="90"/>
      <c r="KT170" s="21"/>
      <c r="KU170" s="20"/>
      <c r="KV170" s="96"/>
      <c r="KW170" s="66"/>
      <c r="KX170" s="21"/>
      <c r="KY170" s="22"/>
      <c r="KZ170" s="22"/>
      <c r="LA170" s="97"/>
      <c r="LB170" s="97"/>
      <c r="LC170" s="97"/>
      <c r="LD170" s="20"/>
      <c r="LE170" s="21"/>
      <c r="LF170" s="21"/>
      <c r="LG170" s="18"/>
      <c r="LH170" s="18"/>
      <c r="LI170" s="68"/>
      <c r="LJ170" s="21"/>
      <c r="LK170" s="67"/>
      <c r="LL170" s="90"/>
      <c r="LM170" s="94"/>
      <c r="LN170" s="95"/>
      <c r="LO170" s="90"/>
      <c r="LP170" s="21"/>
      <c r="LQ170" s="20"/>
      <c r="LR170" s="96"/>
      <c r="LS170" s="66"/>
      <c r="LT170" s="21"/>
      <c r="LU170" s="22"/>
      <c r="LV170" s="22"/>
      <c r="LW170" s="97"/>
      <c r="LX170" s="97"/>
      <c r="LY170" s="97"/>
      <c r="LZ170" s="20"/>
      <c r="MA170" s="21"/>
      <c r="MB170" s="21"/>
      <c r="MC170" s="18"/>
      <c r="MD170" s="18"/>
      <c r="ME170" s="68"/>
      <c r="MF170" s="21"/>
      <c r="MG170" s="67"/>
      <c r="MH170" s="90"/>
      <c r="MI170" s="94"/>
      <c r="MJ170" s="95"/>
      <c r="MK170" s="90"/>
      <c r="ML170" s="21"/>
      <c r="MM170" s="20"/>
      <c r="MN170" s="96"/>
      <c r="MO170" s="66"/>
      <c r="MP170" s="21"/>
      <c r="MQ170" s="22"/>
      <c r="MR170" s="22"/>
      <c r="MS170" s="97"/>
      <c r="MT170" s="97"/>
      <c r="MU170" s="97"/>
      <c r="MV170" s="20"/>
      <c r="MW170" s="21"/>
      <c r="MX170" s="21"/>
      <c r="MY170" s="18"/>
      <c r="MZ170" s="18"/>
      <c r="NA170" s="68"/>
      <c r="NB170" s="21"/>
      <c r="NC170" s="67"/>
      <c r="ND170" s="90"/>
      <c r="NE170" s="94"/>
      <c r="NF170" s="95"/>
      <c r="NG170" s="90"/>
      <c r="NH170" s="21"/>
      <c r="NI170" s="20"/>
      <c r="NJ170" s="96"/>
      <c r="NK170" s="66"/>
      <c r="NL170" s="21"/>
      <c r="NM170" s="22"/>
      <c r="NN170" s="22"/>
      <c r="NO170" s="97"/>
      <c r="NP170" s="97"/>
      <c r="NQ170" s="97"/>
      <c r="NR170" s="20"/>
      <c r="NS170" s="21"/>
      <c r="NT170" s="21"/>
      <c r="NU170" s="18"/>
      <c r="NV170" s="18"/>
      <c r="NW170" s="68"/>
      <c r="NX170" s="21"/>
      <c r="NY170" s="67"/>
      <c r="NZ170" s="90"/>
      <c r="OA170" s="94"/>
      <c r="OB170" s="95"/>
      <c r="OC170" s="90"/>
      <c r="OD170" s="21"/>
      <c r="OE170" s="20"/>
      <c r="OF170" s="96"/>
      <c r="OG170" s="66"/>
      <c r="OH170" s="21"/>
      <c r="OI170" s="22"/>
      <c r="OJ170" s="22"/>
      <c r="OK170" s="97"/>
      <c r="OL170" s="97"/>
      <c r="OM170" s="97"/>
      <c r="ON170" s="20"/>
      <c r="OO170" s="21"/>
      <c r="OP170" s="21"/>
      <c r="OQ170" s="18"/>
      <c r="OR170" s="18"/>
      <c r="OS170" s="68"/>
      <c r="OT170" s="21"/>
      <c r="OU170" s="67"/>
      <c r="OV170" s="90"/>
      <c r="OW170" s="94"/>
      <c r="OX170" s="95"/>
      <c r="OY170" s="90"/>
      <c r="OZ170" s="21"/>
      <c r="PA170" s="20"/>
      <c r="PB170" s="96"/>
      <c r="PC170" s="66"/>
      <c r="PD170" s="21"/>
      <c r="PE170" s="22"/>
      <c r="PF170" s="22"/>
      <c r="PG170" s="97"/>
      <c r="PH170" s="97"/>
      <c r="PI170" s="97"/>
      <c r="PJ170" s="20"/>
      <c r="PK170" s="21"/>
      <c r="PL170" s="21"/>
      <c r="PM170" s="18"/>
      <c r="PN170" s="18"/>
      <c r="PO170" s="68"/>
      <c r="PP170" s="21"/>
      <c r="PQ170" s="67"/>
      <c r="PR170" s="90"/>
      <c r="PS170" s="94"/>
      <c r="PT170" s="95"/>
      <c r="PU170" s="90"/>
      <c r="PV170" s="21"/>
      <c r="PW170" s="20"/>
      <c r="PX170" s="96"/>
      <c r="PY170" s="66"/>
      <c r="PZ170" s="21"/>
      <c r="QA170" s="22"/>
      <c r="QB170" s="22"/>
      <c r="QC170" s="97"/>
      <c r="QD170" s="97"/>
      <c r="QE170" s="97"/>
      <c r="QF170" s="20"/>
      <c r="QG170" s="21"/>
      <c r="QH170" s="21"/>
      <c r="QI170" s="18"/>
      <c r="QJ170" s="18"/>
      <c r="QK170" s="68"/>
      <c r="QL170" s="21"/>
      <c r="QM170" s="67"/>
      <c r="QN170" s="90"/>
      <c r="QO170" s="94"/>
      <c r="QP170" s="95"/>
      <c r="QQ170" s="90"/>
      <c r="QR170" s="21"/>
      <c r="QS170" s="20"/>
      <c r="QT170" s="96"/>
      <c r="QU170" s="66"/>
      <c r="QV170" s="21"/>
      <c r="QW170" s="22"/>
    </row>
    <row r="171" spans="1:465" ht="15" customHeight="1">
      <c r="A171" s="67">
        <v>166</v>
      </c>
      <c r="B171" s="68">
        <v>46254</v>
      </c>
      <c r="C171" s="67" t="s">
        <v>131</v>
      </c>
      <c r="D171" s="67" t="s">
        <v>106</v>
      </c>
      <c r="E171" s="67"/>
      <c r="F171" s="67" t="s">
        <v>269</v>
      </c>
      <c r="G171" s="67"/>
      <c r="H171" s="67" t="s">
        <v>105</v>
      </c>
      <c r="I171" s="67" t="s">
        <v>106</v>
      </c>
      <c r="J171" s="67"/>
      <c r="K171" s="67"/>
      <c r="L171" s="125" t="s">
        <v>298</v>
      </c>
      <c r="M171" s="67"/>
      <c r="N171" s="67"/>
      <c r="O171" s="67"/>
      <c r="P171" s="67"/>
      <c r="Q171" s="67"/>
      <c r="R171" s="67"/>
      <c r="S171" s="67"/>
      <c r="T171" s="84"/>
      <c r="U171" s="67"/>
      <c r="V171" s="67"/>
      <c r="W171" s="21"/>
      <c r="X171" s="67"/>
      <c r="Y171" s="90"/>
      <c r="Z171" s="94"/>
      <c r="AA171" s="95"/>
      <c r="AB171" s="90"/>
      <c r="AC171" s="21"/>
      <c r="AD171" s="20"/>
      <c r="AE171" s="96"/>
      <c r="AF171" s="66"/>
      <c r="AG171" s="21"/>
      <c r="AH171" s="22"/>
      <c r="AI171" s="22"/>
      <c r="AJ171" s="97"/>
      <c r="AK171" s="97"/>
      <c r="AL171" s="97"/>
      <c r="AM171" s="20"/>
      <c r="AN171" s="21"/>
      <c r="AO171" s="21"/>
      <c r="AP171" s="18"/>
      <c r="AQ171" s="18"/>
      <c r="AR171" s="68"/>
      <c r="AS171" s="21"/>
      <c r="AT171" s="67"/>
      <c r="AU171" s="90"/>
      <c r="AV171" s="94"/>
      <c r="AW171" s="95"/>
      <c r="AX171" s="90"/>
      <c r="AY171" s="21"/>
      <c r="AZ171" s="20"/>
      <c r="BA171" s="96"/>
      <c r="BB171" s="66"/>
      <c r="BC171" s="21"/>
      <c r="BD171" s="22"/>
      <c r="BE171" s="22"/>
      <c r="BF171" s="97"/>
      <c r="BG171" s="97"/>
      <c r="BH171" s="97"/>
      <c r="BI171" s="20"/>
      <c r="BJ171" s="21"/>
      <c r="BK171" s="21"/>
      <c r="BL171" s="18"/>
      <c r="BM171" s="18"/>
      <c r="BN171" s="68"/>
      <c r="BO171" s="21"/>
      <c r="BP171" s="67"/>
      <c r="BQ171" s="90"/>
      <c r="BR171" s="94"/>
      <c r="BS171" s="95"/>
      <c r="BT171" s="90"/>
      <c r="BU171" s="21"/>
      <c r="BV171" s="20"/>
      <c r="BW171" s="96"/>
      <c r="BX171" s="66"/>
      <c r="BY171" s="21"/>
      <c r="BZ171" s="22"/>
      <c r="CA171" s="22"/>
      <c r="CB171" s="97"/>
      <c r="CC171" s="97"/>
      <c r="CD171" s="97"/>
      <c r="CE171" s="20"/>
      <c r="CF171" s="21"/>
      <c r="CG171" s="21"/>
      <c r="CH171" s="18"/>
      <c r="CI171" s="18"/>
      <c r="CJ171" s="68"/>
      <c r="CK171" s="21"/>
      <c r="CL171" s="67"/>
      <c r="CM171" s="90"/>
      <c r="CN171" s="94"/>
      <c r="CO171" s="95"/>
      <c r="CP171" s="90"/>
      <c r="CQ171" s="21"/>
      <c r="CR171" s="20"/>
      <c r="CS171" s="96"/>
      <c r="CT171" s="66"/>
      <c r="CU171" s="21"/>
      <c r="CV171" s="22"/>
      <c r="CW171" s="22"/>
      <c r="CX171" s="97"/>
      <c r="CY171" s="97"/>
      <c r="CZ171" s="97"/>
      <c r="DA171" s="20"/>
      <c r="DB171" s="21"/>
      <c r="DC171" s="21"/>
      <c r="DD171" s="18"/>
      <c r="DE171" s="18"/>
      <c r="DF171" s="68"/>
      <c r="DG171" s="21"/>
      <c r="DH171" s="67"/>
      <c r="DI171" s="90"/>
      <c r="DJ171" s="94"/>
      <c r="DK171" s="95"/>
      <c r="DL171" s="90"/>
      <c r="DM171" s="21"/>
      <c r="DN171" s="20"/>
      <c r="DO171" s="96"/>
      <c r="DP171" s="66"/>
      <c r="DQ171" s="21"/>
      <c r="DR171" s="22"/>
      <c r="DS171" s="22"/>
      <c r="DT171" s="97"/>
      <c r="DU171" s="97"/>
      <c r="DV171" s="97"/>
      <c r="DW171" s="20"/>
      <c r="DX171" s="21"/>
      <c r="DY171" s="21"/>
      <c r="DZ171" s="18"/>
      <c r="EA171" s="18"/>
      <c r="EB171" s="68"/>
      <c r="EC171" s="21"/>
      <c r="ED171" s="67"/>
      <c r="EE171" s="90"/>
      <c r="EF171" s="94"/>
      <c r="EG171" s="95"/>
      <c r="EH171" s="90"/>
      <c r="EI171" s="21"/>
      <c r="EJ171" s="20"/>
      <c r="EK171" s="96"/>
      <c r="EL171" s="66"/>
      <c r="EM171" s="21"/>
      <c r="EN171" s="22"/>
      <c r="EO171" s="18"/>
      <c r="EP171" s="68"/>
      <c r="EQ171" s="21"/>
      <c r="ER171" s="67"/>
      <c r="ES171" s="90"/>
      <c r="ET171" s="21"/>
      <c r="EU171" s="95"/>
      <c r="EV171" s="90"/>
      <c r="EW171" s="21"/>
      <c r="EX171" s="20"/>
      <c r="EY171" s="96"/>
      <c r="EZ171" s="66"/>
      <c r="FA171" s="21"/>
      <c r="FB171" s="22"/>
      <c r="FC171" s="22"/>
      <c r="FD171" s="97"/>
      <c r="FE171" s="97"/>
      <c r="FF171" s="97"/>
      <c r="FG171" s="20"/>
      <c r="FH171" s="21"/>
      <c r="FI171" s="18"/>
      <c r="FJ171" s="18"/>
      <c r="FK171" s="68"/>
      <c r="FL171" s="21"/>
      <c r="FM171" s="67"/>
      <c r="FN171" s="90"/>
      <c r="FO171" s="94"/>
      <c r="FP171" s="95"/>
      <c r="FQ171" s="90"/>
      <c r="FR171" s="21"/>
      <c r="FS171" s="20"/>
      <c r="FT171" s="96"/>
      <c r="FU171" s="66"/>
      <c r="FV171" s="21"/>
      <c r="FW171" s="22"/>
      <c r="FX171" s="22"/>
      <c r="FY171" s="97"/>
      <c r="FZ171" s="97"/>
      <c r="GA171" s="97"/>
      <c r="GB171" s="20"/>
      <c r="GC171" s="21"/>
      <c r="GD171" s="21"/>
      <c r="GE171" s="18"/>
      <c r="GF171" s="18"/>
      <c r="GG171" s="68"/>
      <c r="GH171" s="21"/>
      <c r="GI171" s="67"/>
      <c r="GJ171" s="90"/>
      <c r="GK171" s="94"/>
      <c r="GL171" s="95"/>
      <c r="GM171" s="90"/>
      <c r="GN171" s="21"/>
      <c r="GO171" s="20"/>
      <c r="GP171" s="96"/>
      <c r="GQ171" s="66"/>
      <c r="GR171" s="21"/>
      <c r="GS171" s="22"/>
      <c r="GT171" s="22"/>
      <c r="GU171" s="97"/>
      <c r="GV171" s="97"/>
      <c r="GW171" s="97"/>
      <c r="GX171" s="20"/>
      <c r="GY171" s="21"/>
      <c r="GZ171" s="21"/>
      <c r="HA171" s="18"/>
      <c r="HB171" s="18"/>
      <c r="HC171" s="68"/>
      <c r="HD171" s="21"/>
      <c r="HE171" s="67"/>
      <c r="HF171" s="90"/>
      <c r="HG171" s="94"/>
      <c r="HH171" s="95"/>
      <c r="HI171" s="90"/>
      <c r="HJ171" s="21"/>
      <c r="HK171" s="20"/>
      <c r="HL171" s="96"/>
      <c r="HM171" s="66"/>
      <c r="HN171" s="21"/>
      <c r="HO171" s="22"/>
      <c r="HP171" s="22"/>
      <c r="HQ171" s="97"/>
      <c r="HR171" s="97"/>
      <c r="HS171" s="97"/>
      <c r="HT171" s="20"/>
      <c r="HU171" s="21"/>
      <c r="HV171" s="21"/>
      <c r="HW171" s="18"/>
      <c r="HX171" s="18"/>
      <c r="HY171" s="68"/>
      <c r="HZ171" s="21"/>
      <c r="IA171" s="67"/>
      <c r="IB171" s="90"/>
      <c r="IC171" s="94"/>
      <c r="ID171" s="95"/>
      <c r="IE171" s="90"/>
      <c r="IF171" s="21"/>
      <c r="IG171" s="20"/>
      <c r="IH171" s="96"/>
      <c r="II171" s="66"/>
      <c r="IJ171" s="21"/>
      <c r="IK171" s="22"/>
      <c r="IL171" s="22"/>
      <c r="IM171" s="97"/>
      <c r="IN171" s="97"/>
      <c r="IO171" s="97"/>
      <c r="IP171" s="20"/>
      <c r="IQ171" s="21"/>
      <c r="IR171" s="21"/>
      <c r="IS171" s="18"/>
      <c r="IT171" s="18"/>
      <c r="IU171" s="68"/>
      <c r="IV171" s="21"/>
      <c r="IW171" s="67"/>
      <c r="IX171" s="90"/>
      <c r="IY171" s="94"/>
      <c r="IZ171" s="95"/>
      <c r="JA171" s="90"/>
      <c r="JB171" s="21"/>
      <c r="JC171" s="20"/>
      <c r="JD171" s="96"/>
      <c r="JE171" s="66"/>
      <c r="JF171" s="21"/>
      <c r="JG171" s="22"/>
      <c r="JH171" s="22"/>
      <c r="JI171" s="97"/>
      <c r="JJ171" s="97"/>
      <c r="JK171" s="97"/>
      <c r="JL171" s="20"/>
      <c r="JM171" s="21"/>
      <c r="JN171" s="21"/>
      <c r="JO171" s="18"/>
      <c r="JP171" s="18"/>
      <c r="JQ171" s="68"/>
      <c r="JR171" s="21"/>
      <c r="JS171" s="67"/>
      <c r="JT171" s="90"/>
      <c r="JU171" s="94"/>
      <c r="JV171" s="95"/>
      <c r="JW171" s="90"/>
      <c r="JX171" s="21"/>
      <c r="JY171" s="20"/>
      <c r="JZ171" s="96"/>
      <c r="KA171" s="66"/>
      <c r="KB171" s="21"/>
      <c r="KC171" s="22"/>
      <c r="KD171" s="22"/>
      <c r="KE171" s="97"/>
      <c r="KF171" s="97"/>
      <c r="KG171" s="97"/>
      <c r="KH171" s="20"/>
      <c r="KI171" s="21"/>
      <c r="KJ171" s="21"/>
      <c r="KK171" s="18"/>
      <c r="KL171" s="18"/>
      <c r="KM171" s="68"/>
      <c r="KN171" s="21"/>
      <c r="KO171" s="67"/>
      <c r="KP171" s="90"/>
      <c r="KQ171" s="94"/>
      <c r="KR171" s="95"/>
      <c r="KS171" s="90"/>
      <c r="KT171" s="21"/>
      <c r="KU171" s="20"/>
      <c r="KV171" s="96"/>
      <c r="KW171" s="66"/>
      <c r="KX171" s="21"/>
      <c r="KY171" s="22"/>
      <c r="KZ171" s="22"/>
      <c r="LA171" s="97"/>
      <c r="LB171" s="97"/>
      <c r="LC171" s="97"/>
      <c r="LD171" s="20"/>
      <c r="LE171" s="21"/>
      <c r="LF171" s="21"/>
      <c r="LG171" s="18"/>
      <c r="LH171" s="18"/>
      <c r="LI171" s="68"/>
      <c r="LJ171" s="21"/>
      <c r="LK171" s="67"/>
      <c r="LL171" s="90"/>
      <c r="LM171" s="94"/>
      <c r="LN171" s="95"/>
      <c r="LO171" s="90"/>
      <c r="LP171" s="21"/>
      <c r="LQ171" s="20"/>
      <c r="LR171" s="96"/>
      <c r="LS171" s="66"/>
      <c r="LT171" s="21"/>
      <c r="LU171" s="22"/>
      <c r="LV171" s="22"/>
      <c r="LW171" s="97"/>
      <c r="LX171" s="97"/>
      <c r="LY171" s="97"/>
      <c r="LZ171" s="20"/>
      <c r="MA171" s="21"/>
      <c r="MB171" s="21"/>
      <c r="MC171" s="18"/>
      <c r="MD171" s="18"/>
      <c r="ME171" s="68"/>
      <c r="MF171" s="21"/>
      <c r="MG171" s="67"/>
      <c r="MH171" s="90"/>
      <c r="MI171" s="94"/>
      <c r="MJ171" s="95"/>
      <c r="MK171" s="90"/>
      <c r="ML171" s="21"/>
      <c r="MM171" s="20"/>
      <c r="MN171" s="96"/>
      <c r="MO171" s="66"/>
      <c r="MP171" s="21"/>
      <c r="MQ171" s="22"/>
      <c r="MR171" s="22"/>
      <c r="MS171" s="97"/>
      <c r="MT171" s="97"/>
      <c r="MU171" s="97"/>
      <c r="MV171" s="20"/>
      <c r="MW171" s="21"/>
      <c r="MX171" s="21"/>
      <c r="MY171" s="18"/>
      <c r="MZ171" s="18"/>
      <c r="NA171" s="68"/>
      <c r="NB171" s="21"/>
      <c r="NC171" s="67"/>
      <c r="ND171" s="90"/>
      <c r="NE171" s="94"/>
      <c r="NF171" s="95"/>
      <c r="NG171" s="90"/>
      <c r="NH171" s="21"/>
      <c r="NI171" s="20"/>
      <c r="NJ171" s="96"/>
      <c r="NK171" s="66"/>
      <c r="NL171" s="21"/>
      <c r="NM171" s="22"/>
      <c r="NN171" s="22"/>
      <c r="NO171" s="97"/>
      <c r="NP171" s="97"/>
      <c r="NQ171" s="97"/>
      <c r="NR171" s="20"/>
      <c r="NS171" s="21"/>
      <c r="NT171" s="21"/>
      <c r="NU171" s="18"/>
      <c r="NV171" s="18"/>
      <c r="NW171" s="68"/>
      <c r="NX171" s="21"/>
      <c r="NY171" s="67"/>
      <c r="NZ171" s="90"/>
      <c r="OA171" s="94"/>
      <c r="OB171" s="95"/>
      <c r="OC171" s="90"/>
      <c r="OD171" s="21"/>
      <c r="OE171" s="20"/>
      <c r="OF171" s="96"/>
      <c r="OG171" s="66"/>
      <c r="OH171" s="21"/>
      <c r="OI171" s="22"/>
      <c r="OJ171" s="22"/>
      <c r="OK171" s="97"/>
      <c r="OL171" s="97"/>
      <c r="OM171" s="97"/>
      <c r="ON171" s="20"/>
      <c r="OO171" s="21"/>
      <c r="OP171" s="21"/>
      <c r="OQ171" s="18"/>
      <c r="OR171" s="18"/>
      <c r="OS171" s="68"/>
      <c r="OT171" s="21"/>
      <c r="OU171" s="67"/>
      <c r="OV171" s="90"/>
      <c r="OW171" s="94"/>
      <c r="OX171" s="95"/>
      <c r="OY171" s="90"/>
      <c r="OZ171" s="21"/>
      <c r="PA171" s="20"/>
      <c r="PB171" s="96"/>
      <c r="PC171" s="66"/>
      <c r="PD171" s="21"/>
      <c r="PE171" s="22"/>
      <c r="PF171" s="22"/>
      <c r="PG171" s="97"/>
      <c r="PH171" s="97"/>
      <c r="PI171" s="97"/>
      <c r="PJ171" s="20"/>
      <c r="PK171" s="21"/>
      <c r="PL171" s="21"/>
      <c r="PM171" s="18"/>
      <c r="PN171" s="18"/>
      <c r="PO171" s="68"/>
      <c r="PP171" s="21"/>
      <c r="PQ171" s="67"/>
      <c r="PR171" s="90"/>
      <c r="PS171" s="94"/>
      <c r="PT171" s="95"/>
      <c r="PU171" s="90"/>
      <c r="PV171" s="21"/>
      <c r="PW171" s="20"/>
      <c r="PX171" s="96"/>
      <c r="PY171" s="66"/>
      <c r="PZ171" s="21"/>
      <c r="QA171" s="22"/>
      <c r="QB171" s="22"/>
      <c r="QC171" s="97"/>
      <c r="QD171" s="97"/>
      <c r="QE171" s="97"/>
      <c r="QF171" s="20"/>
      <c r="QG171" s="21"/>
      <c r="QH171" s="21"/>
      <c r="QI171" s="18"/>
      <c r="QJ171" s="18"/>
      <c r="QK171" s="68"/>
      <c r="QL171" s="21"/>
      <c r="QM171" s="67"/>
      <c r="QN171" s="90"/>
      <c r="QO171" s="94"/>
      <c r="QP171" s="95"/>
      <c r="QQ171" s="90"/>
      <c r="QR171" s="21"/>
      <c r="QS171" s="20"/>
      <c r="QT171" s="96"/>
      <c r="QU171" s="66"/>
      <c r="QV171" s="21"/>
      <c r="QW171" s="22"/>
    </row>
    <row r="172" spans="1:465" ht="15" customHeight="1">
      <c r="A172" s="67">
        <v>177</v>
      </c>
      <c r="B172" s="68">
        <v>46252</v>
      </c>
      <c r="C172" s="67" t="s">
        <v>131</v>
      </c>
      <c r="D172" s="67" t="s">
        <v>106</v>
      </c>
      <c r="E172" s="67" t="s">
        <v>299</v>
      </c>
      <c r="F172" s="67" t="s">
        <v>254</v>
      </c>
      <c r="G172" s="67"/>
      <c r="H172" s="67" t="s">
        <v>105</v>
      </c>
      <c r="I172" s="67" t="s">
        <v>106</v>
      </c>
      <c r="J172" s="67">
        <v>715988</v>
      </c>
      <c r="K172" s="67"/>
      <c r="L172" s="125" t="s">
        <v>300</v>
      </c>
      <c r="M172" s="67"/>
      <c r="N172" s="67"/>
      <c r="O172" s="67"/>
      <c r="P172" s="67"/>
      <c r="Q172" s="67"/>
      <c r="R172" s="67"/>
      <c r="S172" s="67"/>
      <c r="T172" s="84"/>
      <c r="U172" s="67"/>
      <c r="V172" s="67"/>
    </row>
    <row r="173" spans="1:465" ht="15" customHeight="1">
      <c r="A173" s="67"/>
      <c r="B173" s="68">
        <v>46254</v>
      </c>
      <c r="C173" s="67" t="s">
        <v>131</v>
      </c>
      <c r="D173" s="67" t="s">
        <v>106</v>
      </c>
      <c r="E173" s="67"/>
      <c r="F173" s="67" t="s">
        <v>269</v>
      </c>
      <c r="G173" s="67"/>
      <c r="H173" s="67" t="s">
        <v>105</v>
      </c>
      <c r="I173" s="67" t="s">
        <v>106</v>
      </c>
      <c r="J173" s="67"/>
      <c r="K173" s="67"/>
      <c r="L173" s="125" t="s">
        <v>301</v>
      </c>
      <c r="M173" s="67"/>
      <c r="N173" s="67"/>
      <c r="O173" s="67"/>
      <c r="P173" s="67"/>
      <c r="Q173" s="67"/>
      <c r="R173" s="67"/>
      <c r="S173" s="67"/>
      <c r="T173" s="84"/>
      <c r="U173" s="67"/>
      <c r="V173" s="67"/>
    </row>
    <row r="174" spans="1:465" ht="15" customHeight="1">
      <c r="A174" s="67"/>
      <c r="B174" s="68">
        <v>46254</v>
      </c>
      <c r="C174" s="67" t="s">
        <v>131</v>
      </c>
      <c r="D174" s="67" t="s">
        <v>106</v>
      </c>
      <c r="E174" s="67"/>
      <c r="F174" s="67" t="s">
        <v>269</v>
      </c>
      <c r="G174" s="67"/>
      <c r="H174" s="67" t="s">
        <v>105</v>
      </c>
      <c r="I174" s="67" t="s">
        <v>106</v>
      </c>
      <c r="J174" s="67"/>
      <c r="K174" s="67"/>
      <c r="L174" s="125" t="s">
        <v>302</v>
      </c>
      <c r="M174" s="67"/>
      <c r="N174" s="67"/>
      <c r="O174" s="67"/>
      <c r="P174" s="67"/>
      <c r="Q174" s="67"/>
      <c r="R174" s="67"/>
      <c r="S174" s="67"/>
      <c r="T174" s="84"/>
      <c r="U174" s="67"/>
      <c r="V174" s="67"/>
    </row>
    <row r="175" spans="1:465" ht="15" customHeight="1">
      <c r="A175" s="67"/>
      <c r="B175" s="68">
        <v>46254</v>
      </c>
      <c r="C175" s="67" t="s">
        <v>131</v>
      </c>
      <c r="D175" s="67" t="s">
        <v>106</v>
      </c>
      <c r="E175" s="67"/>
      <c r="F175" s="67" t="s">
        <v>269</v>
      </c>
      <c r="G175" s="67"/>
      <c r="H175" s="67" t="s">
        <v>105</v>
      </c>
      <c r="I175" s="67" t="s">
        <v>106</v>
      </c>
      <c r="J175" s="67"/>
      <c r="K175" s="67"/>
      <c r="L175" s="125" t="s">
        <v>303</v>
      </c>
      <c r="M175" s="67"/>
      <c r="N175" s="67"/>
      <c r="O175" s="67"/>
      <c r="P175" s="67"/>
      <c r="Q175" s="67"/>
      <c r="R175" s="67"/>
      <c r="S175" s="67"/>
      <c r="T175" s="84"/>
      <c r="U175" s="67"/>
      <c r="V175" s="67"/>
    </row>
    <row r="176" spans="1:465" ht="15" customHeight="1">
      <c r="A176" s="67"/>
      <c r="B176" s="68">
        <v>46254</v>
      </c>
      <c r="C176" s="67" t="s">
        <v>129</v>
      </c>
      <c r="D176" s="67" t="s">
        <v>106</v>
      </c>
      <c r="E176" s="67"/>
      <c r="F176" s="67" t="s">
        <v>230</v>
      </c>
      <c r="G176" s="67"/>
      <c r="H176" s="67" t="s">
        <v>105</v>
      </c>
      <c r="I176" s="67" t="s">
        <v>271</v>
      </c>
      <c r="J176" s="67">
        <v>712346</v>
      </c>
      <c r="K176" s="67"/>
      <c r="L176" s="125" t="s">
        <v>304</v>
      </c>
      <c r="M176" s="67"/>
      <c r="N176" s="67"/>
      <c r="O176" s="67"/>
      <c r="P176" s="67"/>
      <c r="Q176" s="67"/>
      <c r="R176" s="67"/>
      <c r="S176" s="67"/>
      <c r="T176" s="84"/>
      <c r="U176" s="67"/>
      <c r="V176" s="67"/>
    </row>
    <row r="177" spans="1:22" ht="15" customHeight="1">
      <c r="A177" s="67"/>
      <c r="B177" s="68">
        <v>46254</v>
      </c>
      <c r="C177" s="67" t="s">
        <v>129</v>
      </c>
      <c r="D177" s="67" t="s">
        <v>106</v>
      </c>
      <c r="E177" s="67"/>
      <c r="F177" s="67" t="s">
        <v>230</v>
      </c>
      <c r="G177" s="67"/>
      <c r="H177" s="67" t="s">
        <v>105</v>
      </c>
      <c r="I177" s="67" t="s">
        <v>271</v>
      </c>
      <c r="J177" s="67">
        <v>718130</v>
      </c>
      <c r="K177" s="67"/>
      <c r="L177" s="125" t="s">
        <v>305</v>
      </c>
      <c r="M177" s="67"/>
      <c r="N177" s="67"/>
      <c r="O177" s="67"/>
      <c r="P177" s="67"/>
      <c r="Q177" s="67"/>
      <c r="R177" s="67"/>
      <c r="S177" s="67"/>
      <c r="T177" s="84"/>
      <c r="U177" s="67"/>
      <c r="V177" s="67"/>
    </row>
    <row r="178" spans="1:22" ht="15" customHeight="1">
      <c r="A178" s="67"/>
      <c r="B178" s="68">
        <v>46254</v>
      </c>
      <c r="C178" s="67" t="s">
        <v>306</v>
      </c>
      <c r="D178" s="67" t="s">
        <v>106</v>
      </c>
      <c r="E178" s="67"/>
      <c r="F178" s="67" t="s">
        <v>307</v>
      </c>
      <c r="G178" s="67"/>
      <c r="H178" s="67" t="s">
        <v>115</v>
      </c>
      <c r="I178" s="67" t="s">
        <v>271</v>
      </c>
      <c r="J178" s="67">
        <v>718472</v>
      </c>
      <c r="K178" s="67"/>
      <c r="L178" s="125" t="s">
        <v>308</v>
      </c>
      <c r="M178" s="67"/>
      <c r="N178" s="67"/>
      <c r="O178" s="67"/>
      <c r="P178" s="67"/>
      <c r="Q178" s="67"/>
      <c r="R178" s="67"/>
      <c r="S178" s="67"/>
      <c r="T178" s="84"/>
      <c r="U178" s="67"/>
      <c r="V178" s="67"/>
    </row>
    <row r="179" spans="1:22" ht="15" customHeight="1">
      <c r="A179" s="67"/>
      <c r="B179" s="68"/>
      <c r="C179" s="67"/>
      <c r="D179" s="67"/>
      <c r="E179" s="67"/>
      <c r="F179" s="67"/>
      <c r="G179" s="67"/>
      <c r="H179" s="67"/>
      <c r="I179" s="67"/>
      <c r="J179" s="67"/>
      <c r="K179" s="67"/>
      <c r="L179" s="125"/>
      <c r="M179" s="67"/>
      <c r="N179" s="67"/>
      <c r="O179" s="67"/>
      <c r="P179" s="67"/>
      <c r="Q179" s="67"/>
      <c r="R179" s="67"/>
      <c r="S179" s="67"/>
      <c r="T179" s="84"/>
      <c r="U179" s="67"/>
      <c r="V179" s="67"/>
    </row>
  </sheetData>
  <autoFilter ref="A1:V173" xr:uid="{7798D6A7-6923-47CA-B398-8476901BA51C}"/>
  <conditionalFormatting sqref="F120:F136 FO154:FO171 GK154:GK171 HG154:HG171 IC154:IC171 IY154:IY171 JU154:JU171 KQ154:KQ171 LM154:LM171 MI154:MI171 NE154:NE171 OA154:OA171 OW154:OW171 PS154:PS171 QO154:QO171 Z154:Z171 AV154:AV171 BR154:BR171 CN154:CN171 DJ154:DJ171 EF154:EF171 ET154:ET171 F156 F164:F165 F172 F176:F179 F1:F118">
    <cfRule type="cellIs" dxfId="18" priority="47" operator="equal">
      <formula>"Entregue"</formula>
    </cfRule>
    <cfRule type="cellIs" dxfId="17" priority="48" operator="equal">
      <formula>"Cancelado"</formula>
    </cfRule>
  </conditionalFormatting>
  <conditionalFormatting sqref="AA153 AW153 BS153 CO153 DK153 EG153 F145:F151 F155 F157:F163 F166:F171 F173:F175">
    <cfRule type="cellIs" dxfId="16" priority="13" operator="equal">
      <formula>"Entregue"</formula>
    </cfRule>
    <cfRule type="cellIs" dxfId="15" priority="14" operator="equal">
      <formula>"Cancelado"</formula>
    </cfRule>
  </conditionalFormatting>
  <conditionalFormatting sqref="AW134:AW135 CK134:CK135 DZ134:DZ135">
    <cfRule type="cellIs" dxfId="14" priority="21" operator="equal">
      <formula>"Entregue"</formula>
    </cfRule>
    <cfRule type="cellIs" dxfId="13" priority="22" operator="equal">
      <formula>"Cancelado"</formula>
    </cfRule>
  </conditionalFormatting>
  <conditionalFormatting sqref="AC134:AC135 DF134:DF135">
    <cfRule type="cellIs" dxfId="12" priority="19" operator="equal">
      <formula>"Entregue"</formula>
    </cfRule>
    <cfRule type="cellIs" dxfId="11" priority="20" operator="equal">
      <formula>"Cancelado"</formula>
    </cfRule>
  </conditionalFormatting>
  <conditionalFormatting sqref="BR134:BR135">
    <cfRule type="cellIs" dxfId="10" priority="17" operator="equal">
      <formula>"Entregue"</formula>
    </cfRule>
    <cfRule type="cellIs" dxfId="9" priority="18" operator="equal">
      <formula>"Cancelado"</formula>
    </cfRule>
  </conditionalFormatting>
  <conditionalFormatting sqref="F152">
    <cfRule type="cellIs" dxfId="8" priority="9" operator="equal">
      <formula>"Entregue"</formula>
    </cfRule>
    <cfRule type="cellIs" dxfId="7" priority="10" operator="equal">
      <formula>"Cancelado"</formula>
    </cfRule>
  </conditionalFormatting>
  <conditionalFormatting sqref="F153:F154">
    <cfRule type="cellIs" dxfId="6" priority="7" operator="equal">
      <formula>"Entregue"</formula>
    </cfRule>
    <cfRule type="cellIs" dxfId="5" priority="8" operator="equal">
      <formula>"Cancelado"</formula>
    </cfRule>
  </conditionalFormatting>
  <hyperlinks>
    <hyperlink ref="L150" r:id="rId1" display="User Story 539599: OPORTUNIDADE | Atualização da Subfase para Contratos Cancelados Antes da Entrega" xr:uid="{3E3C740C-3BD4-4FAB-816D-BC268F0B3AE4}"/>
    <hyperlink ref="L152" r:id="rId2" display="User Story 711716: OPORTUNIDADE / LEAD | Adicionar valor ao campo &quot;Loja de Retirada&quot;" xr:uid="{213DAF28-C77B-4C9E-BE57-6FEA07F4FC5C}"/>
    <hyperlink ref="L153" r:id="rId3" display="User Story 711788: CONTRATO / OPORTUNIDADE | Desenvolver alteração no método de Data e Hora da Assinatura de Contrato" xr:uid="{3DF40A35-D370-406D-B856-F4578F4610CD}"/>
    <hyperlink ref="L154" r:id="rId4" display="User Story 712097: OPORTUNIDADE | Atualização de Cadastro Existente no Locavia Antes da Geração do Contrato" xr:uid="{BACE637C-793A-496C-BFE1-EDD927E7E267}"/>
  </hyperlinks>
  <pageMargins left="0.511811024" right="0.511811024" top="0.78740157499999996" bottom="0.78740157499999996" header="0.31496062000000002" footer="0.31496062000000002"/>
  <legacy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59816A-F97D-417E-8D2F-E8E93EABF682}">
          <x14:formula1>
            <xm:f>Status!$A$2:$A$21</xm:f>
          </x14:formula1>
          <xm:sqref>F2:F178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5F65-1E04-4F8B-A35F-76946D26070C}">
  <dimension ref="A1:V2"/>
  <sheetViews>
    <sheetView workbookViewId="0">
      <selection activeCell="I12" sqref="I12"/>
    </sheetView>
  </sheetViews>
  <sheetFormatPr defaultColWidth="15.5703125" defaultRowHeight="14.45"/>
  <cols>
    <col min="1" max="1" width="5.28515625" customWidth="1"/>
    <col min="2" max="6" width="0" hidden="1" customWidth="1"/>
    <col min="7" max="7" width="39.28515625" hidden="1" customWidth="1"/>
    <col min="8" max="8" width="37.85546875" hidden="1" customWidth="1"/>
    <col min="9" max="9" width="53.42578125" customWidth="1"/>
    <col min="10" max="10" width="44.28515625" customWidth="1"/>
  </cols>
  <sheetData>
    <row r="1" spans="1:22" ht="15.95">
      <c r="A1" s="1"/>
      <c r="B1" s="5" t="s">
        <v>12</v>
      </c>
      <c r="C1" s="11" t="s">
        <v>13</v>
      </c>
      <c r="D1" s="5" t="s">
        <v>14</v>
      </c>
      <c r="E1" s="5" t="s">
        <v>16</v>
      </c>
      <c r="F1" s="5" t="s">
        <v>1</v>
      </c>
      <c r="G1" s="5" t="s">
        <v>18</v>
      </c>
      <c r="H1" s="7" t="s">
        <v>19</v>
      </c>
      <c r="I1" s="5" t="s">
        <v>20</v>
      </c>
      <c r="J1" s="7" t="s">
        <v>21</v>
      </c>
      <c r="K1" s="7" t="s">
        <v>22</v>
      </c>
      <c r="L1" s="7" t="s">
        <v>23</v>
      </c>
      <c r="M1" s="2" t="s">
        <v>24</v>
      </c>
      <c r="N1" s="2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5" t="s">
        <v>102</v>
      </c>
      <c r="V1" s="1"/>
    </row>
    <row r="2" spans="1:22">
      <c r="J2" s="83"/>
    </row>
  </sheetData>
  <conditionalFormatting sqref="F1">
    <cfRule type="cellIs" dxfId="4" priority="1" operator="equal">
      <formula>"Cancelado"</formula>
    </cfRule>
    <cfRule type="cellIs" dxfId="3" priority="2" operator="equal">
      <formula>"Entregue"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1F8C-1CE1-4B63-98AA-A424805F8E8D}">
  <dimension ref="A1:V4"/>
  <sheetViews>
    <sheetView workbookViewId="0">
      <selection activeCell="J4" sqref="J4"/>
    </sheetView>
  </sheetViews>
  <sheetFormatPr defaultRowHeight="14.45"/>
  <cols>
    <col min="1" max="1" width="3.85546875" bestFit="1" customWidth="1"/>
    <col min="2" max="2" width="14.85546875" bestFit="1" customWidth="1"/>
    <col min="3" max="3" width="13.85546875" bestFit="1" customWidth="1"/>
    <col min="4" max="4" width="9.85546875" bestFit="1" customWidth="1"/>
    <col min="5" max="5" width="10.7109375" bestFit="1" customWidth="1"/>
    <col min="6" max="6" width="6.140625" bestFit="1" customWidth="1"/>
    <col min="7" max="7" width="23.140625" bestFit="1" customWidth="1"/>
    <col min="8" max="8" width="22.7109375" bestFit="1" customWidth="1"/>
    <col min="9" max="9" width="17.5703125" bestFit="1" customWidth="1"/>
    <col min="10" max="10" width="65" bestFit="1" customWidth="1"/>
    <col min="11" max="11" width="255.5703125" bestFit="1" customWidth="1"/>
    <col min="12" max="12" width="110.85546875" bestFit="1" customWidth="1"/>
    <col min="13" max="13" width="9.140625" bestFit="1" customWidth="1"/>
    <col min="14" max="14" width="11.140625" bestFit="1" customWidth="1"/>
    <col min="15" max="15" width="14.140625" bestFit="1" customWidth="1"/>
    <col min="16" max="16" width="7.85546875" bestFit="1" customWidth="1"/>
    <col min="17" max="17" width="9.42578125" bestFit="1" customWidth="1"/>
    <col min="18" max="18" width="8.28515625" bestFit="1" customWidth="1"/>
    <col min="19" max="19" width="9.5703125" bestFit="1" customWidth="1"/>
    <col min="20" max="20" width="13.140625" bestFit="1" customWidth="1"/>
    <col min="21" max="21" width="9.42578125" bestFit="1" customWidth="1"/>
    <col min="22" max="22" width="7.42578125" bestFit="1" customWidth="1"/>
  </cols>
  <sheetData>
    <row r="1" spans="1:22" ht="15.95">
      <c r="A1" s="13" t="s">
        <v>12</v>
      </c>
      <c r="B1" s="14" t="s">
        <v>13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</v>
      </c>
      <c r="H1" s="15" t="s">
        <v>18</v>
      </c>
      <c r="I1" s="16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25" t="s">
        <v>24</v>
      </c>
      <c r="O1" s="25" t="s">
        <v>25</v>
      </c>
      <c r="P1" s="15" t="s">
        <v>26</v>
      </c>
      <c r="Q1" s="15" t="s">
        <v>27</v>
      </c>
      <c r="R1" s="15" t="s">
        <v>28</v>
      </c>
      <c r="S1" s="15" t="s">
        <v>29</v>
      </c>
      <c r="T1" s="15" t="s">
        <v>30</v>
      </c>
      <c r="U1" s="15" t="s">
        <v>31</v>
      </c>
      <c r="V1" s="17" t="s">
        <v>102</v>
      </c>
    </row>
    <row r="2" spans="1:22" ht="15.95">
      <c r="A2" s="18"/>
      <c r="B2" s="19"/>
      <c r="C2" s="21"/>
      <c r="D2" s="20"/>
      <c r="E2" s="21"/>
      <c r="F2" s="21"/>
      <c r="G2" s="21"/>
      <c r="H2" s="21"/>
      <c r="I2" s="21"/>
      <c r="J2" s="21"/>
      <c r="K2" s="27"/>
      <c r="L2" s="21"/>
      <c r="M2" s="21"/>
      <c r="N2" s="22" t="b">
        <v>0</v>
      </c>
      <c r="O2" s="22" t="b">
        <v>0</v>
      </c>
      <c r="P2" s="20"/>
      <c r="Q2" s="20"/>
      <c r="R2" s="20"/>
      <c r="S2" s="20"/>
      <c r="T2" s="20"/>
      <c r="U2" s="20"/>
      <c r="V2" s="26"/>
    </row>
    <row r="3" spans="1:22" ht="15.95">
      <c r="A3" s="33"/>
      <c r="B3" s="34"/>
      <c r="C3" s="30"/>
      <c r="D3" s="30"/>
      <c r="E3" s="35"/>
      <c r="F3" s="35"/>
      <c r="G3" s="35"/>
      <c r="H3" s="32"/>
      <c r="I3" s="30"/>
      <c r="J3" s="30"/>
      <c r="K3" s="29"/>
      <c r="L3" s="36"/>
      <c r="M3" s="36"/>
      <c r="N3" s="37" t="b">
        <v>0</v>
      </c>
      <c r="O3" s="37" t="b">
        <v>0</v>
      </c>
      <c r="P3" s="30"/>
      <c r="Q3" s="32"/>
      <c r="R3" s="32"/>
      <c r="S3" s="32"/>
      <c r="T3" s="32"/>
      <c r="U3" s="32"/>
      <c r="V3" s="38"/>
    </row>
    <row r="4" spans="1:22" ht="15.95">
      <c r="A4" s="18"/>
      <c r="B4" s="19"/>
      <c r="C4" s="20"/>
      <c r="D4" s="20"/>
      <c r="E4" s="39"/>
      <c r="F4" s="40"/>
      <c r="G4" s="21"/>
      <c r="H4" s="40"/>
      <c r="I4" s="41"/>
      <c r="J4" s="28"/>
      <c r="K4" s="31"/>
      <c r="L4" s="42"/>
      <c r="M4" s="42"/>
      <c r="N4" s="22" t="b">
        <v>0</v>
      </c>
      <c r="O4" s="22" t="b">
        <v>0</v>
      </c>
      <c r="P4" s="20"/>
      <c r="Q4" s="23"/>
      <c r="R4" s="23"/>
      <c r="S4" s="23"/>
      <c r="T4" s="23"/>
      <c r="U4" s="23"/>
      <c r="V4" s="24"/>
    </row>
  </sheetData>
  <conditionalFormatting sqref="G1:G4">
    <cfRule type="cellIs" dxfId="2" priority="1" operator="equal">
      <formula>"Entregue"</formula>
    </cfRule>
    <cfRule type="cellIs" dxfId="1" priority="2" operator="equal">
      <formula>"Cancelado"</formula>
    </cfRule>
  </conditionalFormatting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6690BB-0A85-4EA3-A086-D1CA9F8CE207}">
          <x14:formula1>
            <xm:f>Status!$A$2:$A$21</xm:f>
          </x14:formula1>
          <xm:sqref>G2:G4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D172-DA35-432E-B186-62B65327864C}">
  <dimension ref="A1:A21"/>
  <sheetViews>
    <sheetView topLeftCell="A6" workbookViewId="0">
      <selection activeCell="B10" sqref="B10"/>
    </sheetView>
  </sheetViews>
  <sheetFormatPr defaultRowHeight="14.45"/>
  <cols>
    <col min="1" max="1" width="37.140625" bestFit="1" customWidth="1"/>
  </cols>
  <sheetData>
    <row r="1" spans="1:1">
      <c r="A1" s="1" t="s">
        <v>1</v>
      </c>
    </row>
    <row r="2" spans="1:1">
      <c r="A2" s="9" t="s">
        <v>309</v>
      </c>
    </row>
    <row r="3" spans="1:1">
      <c r="A3" t="s">
        <v>269</v>
      </c>
    </row>
    <row r="4" spans="1:1">
      <c r="A4" t="s">
        <v>108</v>
      </c>
    </row>
    <row r="5" spans="1:1">
      <c r="A5" t="s">
        <v>310</v>
      </c>
    </row>
    <row r="6" spans="1:1">
      <c r="A6" t="s">
        <v>5</v>
      </c>
    </row>
    <row r="7" spans="1:1">
      <c r="A7" t="s">
        <v>265</v>
      </c>
    </row>
    <row r="8" spans="1:1">
      <c r="A8" t="s">
        <v>136</v>
      </c>
    </row>
    <row r="9" spans="1:1">
      <c r="A9" t="s">
        <v>307</v>
      </c>
    </row>
    <row r="10" spans="1:1">
      <c r="A10" t="s">
        <v>311</v>
      </c>
    </row>
    <row r="11" spans="1:1">
      <c r="A11" t="s">
        <v>3</v>
      </c>
    </row>
    <row r="12" spans="1:1">
      <c r="A12" t="s">
        <v>4</v>
      </c>
    </row>
    <row r="13" spans="1:1">
      <c r="A13" t="s">
        <v>254</v>
      </c>
    </row>
    <row r="14" spans="1:1">
      <c r="A14" t="s">
        <v>6</v>
      </c>
    </row>
    <row r="15" spans="1:1">
      <c r="A15" t="s">
        <v>312</v>
      </c>
    </row>
    <row r="16" spans="1:1">
      <c r="A16" t="s">
        <v>313</v>
      </c>
    </row>
    <row r="17" spans="1:1">
      <c r="A17" t="s">
        <v>230</v>
      </c>
    </row>
    <row r="18" spans="1:1">
      <c r="A18" t="s">
        <v>314</v>
      </c>
    </row>
    <row r="19" spans="1:1">
      <c r="A19" t="s">
        <v>8</v>
      </c>
    </row>
    <row r="20" spans="1:1">
      <c r="A20" t="s">
        <v>251</v>
      </c>
    </row>
    <row r="21" spans="1:1">
      <c r="A21" t="s">
        <v>7</v>
      </c>
    </row>
  </sheetData>
  <autoFilter ref="A1:A21" xr:uid="{DDB1D172-DA35-432E-B186-62B65327864C}">
    <sortState xmlns:xlrd2="http://schemas.microsoft.com/office/spreadsheetml/2017/richdata2" ref="A2:A21">
      <sortCondition ref="A1:A21"/>
    </sortState>
  </autoFilter>
  <conditionalFormatting sqref="A2">
    <cfRule type="cellIs" dxfId="0" priority="1" operator="equal">
      <formula>"Entregue"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9365e8-198e-42b1-8a7c-1646071fd5bb">
      <Terms xmlns="http://schemas.microsoft.com/office/infopath/2007/PartnerControls"/>
    </lcf76f155ced4ddcb4097134ff3c332f>
    <TaxCatchAll xmlns="c6fcde59-8cbf-4463-8978-691d130c6a3f" xsi:nil="true"/>
    <_Flow_SignoffStatus xmlns="b69365e8-198e-42b1-8a7c-1646071fd5bb" xsi:nil="true"/>
    <Respons_x00e1_vel xmlns="b69365e8-198e-42b1-8a7c-1646071fd5bb">
      <UserInfo>
        <DisplayName/>
        <AccountId xsi:nil="true"/>
        <AccountType/>
      </UserInfo>
    </Respons_x00e1_vel>
    <Verificado xmlns="b69365e8-198e-42b1-8a7c-1646071fd5bb">true</Verificado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5EF338E5CD0F468433F583869739E2" ma:contentTypeVersion="18" ma:contentTypeDescription="Crie um novo documento." ma:contentTypeScope="" ma:versionID="076eca3c0b7ee89a14d093ff2732c753">
  <xsd:schema xmlns:xsd="http://www.w3.org/2001/XMLSchema" xmlns:xs="http://www.w3.org/2001/XMLSchema" xmlns:p="http://schemas.microsoft.com/office/2006/metadata/properties" xmlns:ns2="b69365e8-198e-42b1-8a7c-1646071fd5bb" xmlns:ns3="c6fcde59-8cbf-4463-8978-691d130c6a3f" targetNamespace="http://schemas.microsoft.com/office/2006/metadata/properties" ma:root="true" ma:fieldsID="f49b1d1f7c4a2dba698ef219f4d4c3d4" ns2:_="" ns3:_="">
    <xsd:import namespace="b69365e8-198e-42b1-8a7c-1646071fd5bb"/>
    <xsd:import namespace="c6fcde59-8cbf-4463-8978-691d130c6a3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Verificado" minOccurs="0"/>
                <xsd:element ref="ns2:Respons_x00e1_ve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365e8-198e-42b1-8a7c-1646071fd5b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f57424a5-5e2b-4fef-8a80-1374db728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Verificado" ma:index="23" nillable="true" ma:displayName="Verificado" ma:default="1" ma:format="Dropdown" ma:internalName="Verificado">
      <xsd:simpleType>
        <xsd:restriction base="dms:Boolean"/>
      </xsd:simpleType>
    </xsd:element>
    <xsd:element name="Respons_x00e1_vel" ma:index="24" nillable="true" ma:displayName="Responsável" ma:format="Dropdown" ma:list="UserInfo" ma:SharePointGroup="0" ma:internalName="Respons_x00e1_vel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cde59-8cbf-4463-8978-691d130c6a3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4c528c1-ac62-44aa-95fb-fdc3dfbb3a31}" ma:internalName="TaxCatchAll" ma:showField="CatchAllData" ma:web="c6fcde59-8cbf-4463-8978-691d130c6a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EA478A-6AA9-4520-AD64-705F22E62199}"/>
</file>

<file path=customXml/itemProps2.xml><?xml version="1.0" encoding="utf-8"?>
<ds:datastoreItem xmlns:ds="http://schemas.openxmlformats.org/officeDocument/2006/customXml" ds:itemID="{73AC06B8-91E3-4273-9B75-CD0A1C571DF3}"/>
</file>

<file path=customXml/itemProps3.xml><?xml version="1.0" encoding="utf-8"?>
<ds:datastoreItem xmlns:ds="http://schemas.openxmlformats.org/officeDocument/2006/customXml" ds:itemID="{5057B571-FDD3-43F5-B76F-50E1FC879C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Galarce Demetrio</dc:creator>
  <cp:keywords/>
  <dc:description/>
  <cp:lastModifiedBy>Aggrandize - João Márcio Bicalho Andrade</cp:lastModifiedBy>
  <cp:revision/>
  <dcterms:created xsi:type="dcterms:W3CDTF">2026-02-23T19:42:33Z</dcterms:created>
  <dcterms:modified xsi:type="dcterms:W3CDTF">2026-08-20T20:05:46Z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0x010100545EF338E5CD0F468433F583869739E2</vt:lpwstr>
  </property>
  <property fmtid="{D5CDD505-2E9C-101B-9397-08002B2CF9AE}" pid="3" name="MediaServiceImageTags">
    <vt:lpwstr/>
  </property>
</Properties>
</file>